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activeTab="2"/>
  </bookViews>
  <sheets>
    <sheet name="SLL_Wellsite" sheetId="6" r:id="rId1"/>
    <sheet name="SLL_Reconciled" sheetId="11" r:id="rId2"/>
    <sheet name="Collar" sheetId="2" r:id="rId3"/>
    <sheet name="BHC" sheetId="10" r:id="rId4"/>
    <sheet name="Sampling" sheetId="7" r:id="rId5"/>
    <sheet name="Library SLL" sheetId="4" r:id="rId6"/>
  </sheets>
  <externalReferences>
    <externalReference r:id="rId7"/>
    <externalReference r:id="rId8"/>
  </externalReferences>
  <definedNames>
    <definedName name="_xlnm._FilterDatabase" localSheetId="1" hidden="1">SLL_Reconciled!$AQ$10:$AQ$34</definedName>
    <definedName name="AA" localSheetId="3">'[1]Library SLL'!$A$15:$A$24</definedName>
    <definedName name="AA" localSheetId="1">'[1]Library SLL'!$A$15:$A$24</definedName>
    <definedName name="AA">'[1]Library SLL'!$A$15:$A$24</definedName>
    <definedName name="assoc">'Library SLL'!$S$2:$S$12</definedName>
    <definedName name="bit">'Library SLL'!$A$15:$A$24</definedName>
    <definedName name="casing_size">'Library SLL'!$A$42:$A$44</definedName>
    <definedName name="casing_type">'Library SLL'!$A$38:$A$40</definedName>
    <definedName name="check" localSheetId="3">'[2]Library Collar'!$G$16:$G$26</definedName>
    <definedName name="check" localSheetId="1">#REF!</definedName>
    <definedName name="check">#REF!</definedName>
    <definedName name="coal">'Library SLL'!$D$12:$D$18</definedName>
    <definedName name="color">'Library SLL'!$G$46:$G$54</definedName>
    <definedName name="cont">'Library SLL'!$A$35:$A$36</definedName>
    <definedName name="core">'Library SLL'!$A$32:$A$33</definedName>
    <definedName name="d_cont" localSheetId="3">'[2]Library Collar'!$D$2:$D$4</definedName>
    <definedName name="d_cont" localSheetId="1">#REF!</definedName>
    <definedName name="d_cont">#REF!</definedName>
    <definedName name="d_from" localSheetId="3">#REF!</definedName>
    <definedName name="d_from" localSheetId="1">SLL_Reconciled!$G$10:$G$879</definedName>
    <definedName name="d_from">SLL_Reconciled!$G$10:$G$879</definedName>
    <definedName name="d_rig" localSheetId="3">'[2]Library Collar'!$D$6:$D$10</definedName>
    <definedName name="d_rig" localSheetId="1">#REF!</definedName>
    <definedName name="d_rig">#REF!</definedName>
    <definedName name="d_rigid" localSheetId="3">'[2]Library Collar'!$D$12:$D$26</definedName>
    <definedName name="d_rigid" localSheetId="1">#REF!</definedName>
    <definedName name="d_rigid">#REF!</definedName>
    <definedName name="d_to" localSheetId="3">#REF!</definedName>
    <definedName name="d_to" localSheetId="1">SLL_Reconciled!$H$10:$H$879</definedName>
    <definedName name="d_to">SLL_Reconciled!$H$10:$H$879</definedName>
    <definedName name="data" localSheetId="3">#REF!</definedName>
    <definedName name="data" localSheetId="1">SLL_Reconciled!$H$10:$AQ$49879</definedName>
    <definedName name="data">SLL_Reconciled!$H$10:$AQ$49879</definedName>
    <definedName name="date" localSheetId="3">[2]SLL_WellCad!$AT$10:$AT$49906</definedName>
    <definedName name="date" localSheetId="1">SLL_Reconciled!$AT$10:$AT$49879</definedName>
    <definedName name="date">SLL_Reconciled!$AT$10:$AT$49879</definedName>
    <definedName name="date_from" localSheetId="3">[2]Collar!$I$5</definedName>
    <definedName name="date_from" localSheetId="1">Collar!$I$5</definedName>
    <definedName name="date_from">Collar!$I$5</definedName>
    <definedName name="date_to" localSheetId="3">[2]Collar!#REF!</definedName>
    <definedName name="date_to" localSheetId="1">Collar!#REF!</definedName>
    <definedName name="date_to">Collar!#REF!</definedName>
    <definedName name="day">'Library SLL'!$A$2:$A$3</definedName>
    <definedName name="driller" localSheetId="3">'[2]Library SLL'!$V$2:$V$60</definedName>
    <definedName name="driller" localSheetId="1">'Library SLL'!#REF!</definedName>
    <definedName name="driller">'Library SLL'!#REF!</definedName>
    <definedName name="fosil">'Library SLL'!$P$25:$P$28</definedName>
    <definedName name="fosil_abund">'Library SLL'!$P$25:$P$28</definedName>
    <definedName name="fosil_min">'Library SLL'!$P$30:$P$49</definedName>
    <definedName name="g_log" localSheetId="3">'[2]Library Collar'!$G$12:$G$14</definedName>
    <definedName name="g_log" localSheetId="1">#REF!</definedName>
    <definedName name="g_log">#REF!</definedName>
    <definedName name="gp_cont" localSheetId="3">'[2]Library Collar'!$G$2:$G$4</definedName>
    <definedName name="gp_cont" localSheetId="1">#REF!</definedName>
    <definedName name="gp_cont">#REF!</definedName>
    <definedName name="gp_log" localSheetId="3">'[2]Library Collar'!$G$6:$G$10</definedName>
    <definedName name="gp_log" localSheetId="1">#REF!</definedName>
    <definedName name="gp_log">#REF!</definedName>
    <definedName name="grain">'Library SLL'!$J$2:$J$10</definedName>
    <definedName name="hole" localSheetId="3">#REF!</definedName>
    <definedName name="hole" localSheetId="1">SLL_Reconciled!$F$10:$F$49879</definedName>
    <definedName name="hole">SLL_Reconciled!$F$10:$F$49879</definedName>
    <definedName name="hole_dia">'Library SLL'!$A$26:$A$29</definedName>
    <definedName name="hole_type">'Library SLL'!$A$31:$A$33</definedName>
    <definedName name="hue">'Library SLL'!$G$38:$G$44</definedName>
    <definedName name="id" localSheetId="3">[2]SLL_Wellsite!$A$11</definedName>
    <definedName name="id" localSheetId="1">SLL_Wellsite!$A$11</definedName>
    <definedName name="id">SLL_Wellsite!$A$11</definedName>
    <definedName name="litho">'Library SLL'!$D$2:$D$42</definedName>
    <definedName name="log_basis">'Library SLL'!$A$5:$A$13</definedName>
    <definedName name="loss">'Library SLL'!$D$38:$D$39</definedName>
    <definedName name="max" localSheetId="3">[2]SLL_WellCad!$H$10:$H$906</definedName>
    <definedName name="max" localSheetId="1">SLL_Reconciled!$H$10:$H$879</definedName>
    <definedName name="max">SLL_Reconciled!$H$10:$H$879</definedName>
    <definedName name="mech">'Library SLL'!$P$9:$P$23</definedName>
    <definedName name="perm">'Library SLL'!$J$27:$J$29</definedName>
    <definedName name="ply">'Library SLL'!$S$27:$S$31</definedName>
    <definedName name="qual">'Library SLL'!$G$2:$G$31</definedName>
    <definedName name="round">'Library SLL'!$J$13:$J$18</definedName>
    <definedName name="s_cont" localSheetId="3">'[2]Library Collar'!$A$2:$A$4</definedName>
    <definedName name="s_cont" localSheetId="1">#REF!</definedName>
    <definedName name="s_cont">#REF!</definedName>
    <definedName name="s_meth" localSheetId="3">'[2]Library Collar'!$A$6:$A$10</definedName>
    <definedName name="s_meth" localSheetId="1">#REF!</definedName>
    <definedName name="s_meth">#REF!</definedName>
    <definedName name="seam">'Library SLL'!$S$33:$S$52</definedName>
    <definedName name="seam_sll" localSheetId="3">[2]SLL_WellCad!$AQ$10:$AQ$49906</definedName>
    <definedName name="seam_sll" localSheetId="1">SLL_Reconciled!$AQ$10:$AQ$49879</definedName>
    <definedName name="seam_sll">SLL_Reconciled!$AQ$10:$AQ$49879</definedName>
    <definedName name="sed_rel">'Library SLL'!$S$14:$S$25</definedName>
    <definedName name="sed_struc">'Library SLL'!$M$2:$M$22</definedName>
    <definedName name="sep_bed">'Library SLL'!$J$41:$J$50</definedName>
    <definedName name="shade">'Library SLL'!$G$33:$G$36</definedName>
    <definedName name="sort">'Library SLL'!$J$21:$J$24</definedName>
    <definedName name="space_bed">'Library SLL'!$J$32:$J$39</definedName>
    <definedName name="strength">'Library SLL'!$M$52:$M$58</definedName>
    <definedName name="struc_desc">'Library SLL'!$M$42:$M$50</definedName>
    <definedName name="struc_spacing">'Library SLL'!$M$33:$M$40</definedName>
    <definedName name="struc_type">'Library SLL'!$M$24:$M$31</definedName>
    <definedName name="surveyor" localSheetId="3">'[2]Library Collar'!$A$12:$A$26</definedName>
    <definedName name="surveyor" localSheetId="1">#REF!</definedName>
    <definedName name="surveyor">#REF!</definedName>
    <definedName name="weath">'Library SLL'!$P$2:$P$7</definedName>
    <definedName name="wellsite" localSheetId="3">'[2]Library SLL'!$Y$2:$Y$60</definedName>
    <definedName name="wellsite" localSheetId="1">'Library SLL'!#REF!</definedName>
    <definedName name="wellsite">'Library SLL'!#REF!</definedName>
    <definedName name="x">Collar!$B$5</definedName>
    <definedName name="y">Collar!$C$5</definedName>
    <definedName name="z">Collar!$D$5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I13" i="10"/>
  <c r="AI14"/>
  <c r="AI15"/>
  <c r="AI16"/>
  <c r="AI17"/>
  <c r="AI18"/>
  <c r="AI19"/>
  <c r="AI20"/>
  <c r="AH20"/>
  <c r="AG20"/>
  <c r="AH19"/>
  <c r="AG19"/>
  <c r="AH18"/>
  <c r="AG18"/>
  <c r="AH17"/>
  <c r="AG17"/>
  <c r="AH16"/>
  <c r="AG16"/>
  <c r="AH15"/>
  <c r="AG15"/>
  <c r="AH14"/>
  <c r="AG14"/>
  <c r="AH13"/>
  <c r="AG13"/>
  <c r="AH12"/>
  <c r="AG12"/>
  <c r="AE13"/>
  <c r="AE14"/>
  <c r="AE15"/>
  <c r="AE16"/>
  <c r="AE17"/>
  <c r="AE18"/>
  <c r="AE19"/>
  <c r="AE20"/>
  <c r="C5" i="7" l="1"/>
  <c r="C10" i="10"/>
  <c r="AI12" l="1"/>
  <c r="N5" i="7" l="1"/>
  <c r="J5"/>
  <c r="I5"/>
  <c r="G5"/>
  <c r="F5"/>
  <c r="E5"/>
  <c r="V22" i="10"/>
  <c r="H5" i="7" l="1"/>
  <c r="K5"/>
  <c r="AE12" i="10"/>
  <c r="AB12" l="1"/>
  <c r="U12"/>
  <c r="U20"/>
  <c r="U11"/>
  <c r="Q21"/>
  <c r="Q10"/>
  <c r="U22" l="1"/>
  <c r="W22" s="1"/>
  <c r="AJ12"/>
  <c r="Y22" l="1"/>
</calcChain>
</file>

<file path=xl/sharedStrings.xml><?xml version="1.0" encoding="utf-8"?>
<sst xmlns="http://schemas.openxmlformats.org/spreadsheetml/2006/main" count="2009" uniqueCount="629">
  <si>
    <t>Hole_ID</t>
  </si>
  <si>
    <t>Date Logged</t>
  </si>
  <si>
    <t>Hole Type</t>
  </si>
  <si>
    <t>Bit Type</t>
  </si>
  <si>
    <t>Hole Dia</t>
  </si>
  <si>
    <t>Depth</t>
  </si>
  <si>
    <t>Core Length</t>
  </si>
  <si>
    <t>Core Recov</t>
  </si>
  <si>
    <t>Casing Type</t>
  </si>
  <si>
    <t>Casing Depth</t>
  </si>
  <si>
    <t>Casing Size</t>
  </si>
  <si>
    <t>Driller</t>
  </si>
  <si>
    <t>Lith</t>
  </si>
  <si>
    <t>Seam</t>
  </si>
  <si>
    <t>Ply</t>
  </si>
  <si>
    <t>Colour</t>
  </si>
  <si>
    <t>Textur</t>
  </si>
  <si>
    <t>Strength</t>
  </si>
  <si>
    <t>Weath</t>
  </si>
  <si>
    <t>Mech State</t>
  </si>
  <si>
    <t>From</t>
  </si>
  <si>
    <t>To</t>
  </si>
  <si>
    <t>Shade</t>
  </si>
  <si>
    <t>Hue</t>
  </si>
  <si>
    <t>Color</t>
  </si>
  <si>
    <t>Grain</t>
  </si>
  <si>
    <t>Round</t>
  </si>
  <si>
    <t>Sorting</t>
  </si>
  <si>
    <t>Perm</t>
  </si>
  <si>
    <t>R1</t>
  </si>
  <si>
    <t>R2</t>
  </si>
  <si>
    <t>Shift</t>
  </si>
  <si>
    <t>Core Loss</t>
  </si>
  <si>
    <t>Prospect Area</t>
  </si>
  <si>
    <t>Sedimentary Lithology Log</t>
  </si>
  <si>
    <t>Comments</t>
  </si>
  <si>
    <t>Hole ID</t>
  </si>
  <si>
    <t>Rig Type</t>
  </si>
  <si>
    <t>Rig Number</t>
  </si>
  <si>
    <t>Entered By</t>
  </si>
  <si>
    <t>Checked By</t>
  </si>
  <si>
    <t>Date</t>
  </si>
  <si>
    <t>Max Depth</t>
  </si>
  <si>
    <t>Company</t>
  </si>
  <si>
    <t>Geophysical</t>
  </si>
  <si>
    <t>Logger</t>
  </si>
  <si>
    <t>East</t>
  </si>
  <si>
    <t>North</t>
  </si>
  <si>
    <t>RL</t>
  </si>
  <si>
    <t>Coordinate</t>
  </si>
  <si>
    <t>Survey</t>
  </si>
  <si>
    <t>Method</t>
  </si>
  <si>
    <t>Surveyor</t>
  </si>
  <si>
    <t>Collar</t>
  </si>
  <si>
    <t>Drilling</t>
  </si>
  <si>
    <t>Geophysical Log</t>
  </si>
  <si>
    <t>Surface Water</t>
  </si>
  <si>
    <t>Etc</t>
  </si>
  <si>
    <t>Hole Id</t>
  </si>
  <si>
    <t>Drilling Depth</t>
  </si>
  <si>
    <t>Sample Number</t>
  </si>
  <si>
    <t>OH</t>
  </si>
  <si>
    <t>TC</t>
  </si>
  <si>
    <t>Lithology</t>
  </si>
  <si>
    <t>AW</t>
  </si>
  <si>
    <t>Andesite</t>
  </si>
  <si>
    <t>Basalt</t>
  </si>
  <si>
    <t>BR</t>
  </si>
  <si>
    <t>Breccia</t>
  </si>
  <si>
    <t>CA</t>
  </si>
  <si>
    <t>Calcite</t>
  </si>
  <si>
    <t>XC</t>
  </si>
  <si>
    <t>Carbonaceous CS</t>
  </si>
  <si>
    <t>XM</t>
  </si>
  <si>
    <t>Carbonaceous MS</t>
  </si>
  <si>
    <t>XH</t>
  </si>
  <si>
    <t>Carbonaceous Shale</t>
  </si>
  <si>
    <t>CB</t>
  </si>
  <si>
    <t>Carbonate</t>
  </si>
  <si>
    <t>CL</t>
  </si>
  <si>
    <t>Clay</t>
  </si>
  <si>
    <t>CS</t>
  </si>
  <si>
    <t>Clay Stone</t>
  </si>
  <si>
    <t>CO</t>
  </si>
  <si>
    <t>Coal Undifferentiated</t>
  </si>
  <si>
    <t>CW</t>
  </si>
  <si>
    <t>Coal weathered</t>
  </si>
  <si>
    <t>C1</t>
  </si>
  <si>
    <t>Coal, &gt;90% bright</t>
  </si>
  <si>
    <t>C2</t>
  </si>
  <si>
    <t>Coal, 60-90% bright</t>
  </si>
  <si>
    <t>C3</t>
  </si>
  <si>
    <t>Coal, 40-60% bright</t>
  </si>
  <si>
    <t>C4</t>
  </si>
  <si>
    <t>Coal,10-40% bright</t>
  </si>
  <si>
    <t>C5</t>
  </si>
  <si>
    <t>Coal, &lt;10% bright</t>
  </si>
  <si>
    <t>ZC</t>
  </si>
  <si>
    <t>Coaly Clystone</t>
  </si>
  <si>
    <t>ZM</t>
  </si>
  <si>
    <t>Coaly Mudstone</t>
  </si>
  <si>
    <t>ZH</t>
  </si>
  <si>
    <t>Coaly Shale</t>
  </si>
  <si>
    <t>LA</t>
  </si>
  <si>
    <t>Laterite</t>
  </si>
  <si>
    <t>LG</t>
  </si>
  <si>
    <t>Lignite</t>
  </si>
  <si>
    <t>Limestone</t>
  </si>
  <si>
    <t>SO</t>
  </si>
  <si>
    <t>Siderite</t>
  </si>
  <si>
    <t>LS</t>
  </si>
  <si>
    <t>Shale Limestone</t>
  </si>
  <si>
    <t>MM</t>
  </si>
  <si>
    <t>Metamorphic Rock</t>
  </si>
  <si>
    <t>MS</t>
  </si>
  <si>
    <t>Mudstone</t>
  </si>
  <si>
    <t>PY</t>
  </si>
  <si>
    <t>Pyrite</t>
  </si>
  <si>
    <t>SS</t>
  </si>
  <si>
    <t>Sandstone</t>
  </si>
  <si>
    <t>SH</t>
  </si>
  <si>
    <t>Shale</t>
  </si>
  <si>
    <t>SL</t>
  </si>
  <si>
    <t>Siltstone</t>
  </si>
  <si>
    <t>Soil</t>
  </si>
  <si>
    <t>CH</t>
  </si>
  <si>
    <t>Stony Coal</t>
  </si>
  <si>
    <t>TF</t>
  </si>
  <si>
    <t>Tuff</t>
  </si>
  <si>
    <t>YD</t>
  </si>
  <si>
    <t>Undifferientate rock</t>
  </si>
  <si>
    <t>NL</t>
  </si>
  <si>
    <t>Not Logged</t>
  </si>
  <si>
    <t>KL</t>
  </si>
  <si>
    <t>LC</t>
  </si>
  <si>
    <t>Lost Circulation</t>
  </si>
  <si>
    <t>NK</t>
  </si>
  <si>
    <t>Not Cored</t>
  </si>
  <si>
    <t>NR</t>
  </si>
  <si>
    <t>Not Recovery</t>
  </si>
  <si>
    <t>NS</t>
  </si>
  <si>
    <t>Not Sample</t>
  </si>
  <si>
    <t>Qualifers</t>
  </si>
  <si>
    <t xml:space="preserve"> Banded </t>
  </si>
  <si>
    <t xml:space="preserve"> Calcareous </t>
  </si>
  <si>
    <t xml:space="preserve"> Cement </t>
  </si>
  <si>
    <t xml:space="preserve"> Clay </t>
  </si>
  <si>
    <t xml:space="preserve"> Coaly </t>
  </si>
  <si>
    <t xml:space="preserve"> Fine </t>
  </si>
  <si>
    <t xml:space="preserve"> Lateritic </t>
  </si>
  <si>
    <t xml:space="preserve"> Lithic </t>
  </si>
  <si>
    <t xml:space="preserve"> Lenses </t>
  </si>
  <si>
    <t xml:space="preserve"> Matrix </t>
  </si>
  <si>
    <t xml:space="preserve"> Marly </t>
  </si>
  <si>
    <t xml:space="preserve"> Micaeous </t>
  </si>
  <si>
    <t xml:space="preserve"> Muddy </t>
  </si>
  <si>
    <t xml:space="preserve"> Pebbly </t>
  </si>
  <si>
    <t xml:space="preserve"> Pelletoidal </t>
  </si>
  <si>
    <t xml:space="preserve"> Quartz Feldspatihic </t>
  </si>
  <si>
    <t xml:space="preserve"> Quartz Lithic </t>
  </si>
  <si>
    <t xml:space="preserve"> Quartzose </t>
  </si>
  <si>
    <t xml:space="preserve"> Resinious </t>
  </si>
  <si>
    <t xml:space="preserve"> Sandy </t>
  </si>
  <si>
    <t xml:space="preserve"> Slighty Carbonaceous </t>
  </si>
  <si>
    <t xml:space="preserve"> Silty </t>
  </si>
  <si>
    <t xml:space="preserve"> Striner of Coal </t>
  </si>
  <si>
    <t xml:space="preserve"> Rare </t>
  </si>
  <si>
    <t xml:space="preserve"> Thin </t>
  </si>
  <si>
    <t xml:space="preserve"> Thick </t>
  </si>
  <si>
    <t xml:space="preserve"> Vitrinous </t>
  </si>
  <si>
    <t xml:space="preserve"> Wisps </t>
  </si>
  <si>
    <t xml:space="preserve"> Woody </t>
  </si>
  <si>
    <t xml:space="preserve"> Sideritic </t>
  </si>
  <si>
    <t xml:space="preserve"> Light </t>
  </si>
  <si>
    <t xml:space="preserve"> Medium </t>
  </si>
  <si>
    <t xml:space="preserve"> Dark </t>
  </si>
  <si>
    <t xml:space="preserve"> Motled </t>
  </si>
  <si>
    <t xml:space="preserve"> Brownish </t>
  </si>
  <si>
    <t xml:space="preserve"> Greenish </t>
  </si>
  <si>
    <t xml:space="preserve"> Greyish </t>
  </si>
  <si>
    <t xml:space="preserve"> Orange </t>
  </si>
  <si>
    <t xml:space="preserve"> Reddish </t>
  </si>
  <si>
    <t xml:space="preserve"> Red </t>
  </si>
  <si>
    <t xml:space="preserve"> White </t>
  </si>
  <si>
    <t xml:space="preserve"> Yellow </t>
  </si>
  <si>
    <t xml:space="preserve"> Black </t>
  </si>
  <si>
    <t xml:space="preserve"> Brown </t>
  </si>
  <si>
    <t xml:space="preserve"> Cream </t>
  </si>
  <si>
    <t xml:space="preserve"> Green </t>
  </si>
  <si>
    <t xml:space="preserve"> Grey </t>
  </si>
  <si>
    <t xml:space="preserve"> </t>
  </si>
  <si>
    <t>BO</t>
  </si>
  <si>
    <t>Boulder</t>
  </si>
  <si>
    <t>Cobble</t>
  </si>
  <si>
    <t>PB</t>
  </si>
  <si>
    <t>Pebble</t>
  </si>
  <si>
    <t>GR</t>
  </si>
  <si>
    <t>Granular</t>
  </si>
  <si>
    <t>VC</t>
  </si>
  <si>
    <t>Very coarse</t>
  </si>
  <si>
    <t>Coarse</t>
  </si>
  <si>
    <t>MD</t>
  </si>
  <si>
    <t>Med. Grained</t>
  </si>
  <si>
    <t>FN</t>
  </si>
  <si>
    <t>Fine</t>
  </si>
  <si>
    <t>VF</t>
  </si>
  <si>
    <t>Very fine</t>
  </si>
  <si>
    <t>V</t>
  </si>
  <si>
    <t>Very angular</t>
  </si>
  <si>
    <t>A</t>
  </si>
  <si>
    <t>Angular</t>
  </si>
  <si>
    <t>S</t>
  </si>
  <si>
    <t>Subangular</t>
  </si>
  <si>
    <t>U</t>
  </si>
  <si>
    <t>Subrounded</t>
  </si>
  <si>
    <t>R</t>
  </si>
  <si>
    <t>Rounded</t>
  </si>
  <si>
    <t>W</t>
  </si>
  <si>
    <t>Well rounded</t>
  </si>
  <si>
    <t>P</t>
  </si>
  <si>
    <t>Poorly sorted</t>
  </si>
  <si>
    <t>M</t>
  </si>
  <si>
    <t>Moderately sorted</t>
  </si>
  <si>
    <t>Well sorted</t>
  </si>
  <si>
    <t>B</t>
  </si>
  <si>
    <t>Bimodal sorting</t>
  </si>
  <si>
    <t>Bad porosity</t>
  </si>
  <si>
    <t>Medium Porosity</t>
  </si>
  <si>
    <t>G</t>
  </si>
  <si>
    <t>Good Porosity</t>
  </si>
  <si>
    <t>Roundness</t>
  </si>
  <si>
    <t>Porosity &amp; Permeability</t>
  </si>
  <si>
    <t>BI</t>
  </si>
  <si>
    <t>FB</t>
  </si>
  <si>
    <t>FR</t>
  </si>
  <si>
    <t>FM</t>
  </si>
  <si>
    <t>MF</t>
  </si>
  <si>
    <t>PF</t>
  </si>
  <si>
    <t>RS</t>
  </si>
  <si>
    <t>RT</t>
  </si>
  <si>
    <t>SR</t>
  </si>
  <si>
    <t>D</t>
  </si>
  <si>
    <t>E</t>
  </si>
  <si>
    <t>Rock Strength</t>
  </si>
  <si>
    <t>R0</t>
  </si>
  <si>
    <t>Extremely  weak</t>
  </si>
  <si>
    <t>Very weak</t>
  </si>
  <si>
    <t>Weak</t>
  </si>
  <si>
    <t>R3</t>
  </si>
  <si>
    <t>Moderately weak</t>
  </si>
  <si>
    <t>R4</t>
  </si>
  <si>
    <t>Moderately strong</t>
  </si>
  <si>
    <t>R5</t>
  </si>
  <si>
    <t>Strong</t>
  </si>
  <si>
    <t>R6</t>
  </si>
  <si>
    <t>Very strong</t>
  </si>
  <si>
    <t>Weathering</t>
  </si>
  <si>
    <t>Completely weathered</t>
  </si>
  <si>
    <t>HW</t>
  </si>
  <si>
    <t>Highly weathered</t>
  </si>
  <si>
    <t>MW</t>
  </si>
  <si>
    <t>Moderately weathered</t>
  </si>
  <si>
    <t>SW</t>
  </si>
  <si>
    <t>Slightly weathered</t>
  </si>
  <si>
    <t>Fresh rock</t>
  </si>
  <si>
    <t>Mechanical State</t>
  </si>
  <si>
    <t>S1</t>
  </si>
  <si>
    <t>Solid core</t>
  </si>
  <si>
    <t>S2</t>
  </si>
  <si>
    <t>Slightly broken core</t>
  </si>
  <si>
    <t>S3</t>
  </si>
  <si>
    <t>Broken core</t>
  </si>
  <si>
    <t>S4</t>
  </si>
  <si>
    <t>Fragmented core</t>
  </si>
  <si>
    <t>Brecciated</t>
  </si>
  <si>
    <t>BE</t>
  </si>
  <si>
    <t>Brittle</t>
  </si>
  <si>
    <t>DH</t>
  </si>
  <si>
    <t>Dense</t>
  </si>
  <si>
    <t>DO</t>
  </si>
  <si>
    <t>Desintegrates on drying</t>
  </si>
  <si>
    <t>FI</t>
  </si>
  <si>
    <t>Fissile</t>
  </si>
  <si>
    <t>Fretted core</t>
  </si>
  <si>
    <t>Sheared</t>
  </si>
  <si>
    <t>SC</t>
  </si>
  <si>
    <t>Sticky clay</t>
  </si>
  <si>
    <t>SF</t>
  </si>
  <si>
    <t>Subfissile</t>
  </si>
  <si>
    <t>TO</t>
  </si>
  <si>
    <t>Tough</t>
  </si>
  <si>
    <t>MA</t>
  </si>
  <si>
    <t>Massive</t>
  </si>
  <si>
    <t>BT</t>
  </si>
  <si>
    <t>CF</t>
  </si>
  <si>
    <t>FS</t>
  </si>
  <si>
    <t>ST</t>
  </si>
  <si>
    <t>N</t>
  </si>
  <si>
    <t>Day</t>
  </si>
  <si>
    <t>Night</t>
  </si>
  <si>
    <t>PCD</t>
  </si>
  <si>
    <t>Wingbit</t>
  </si>
  <si>
    <t>Impreg</t>
  </si>
  <si>
    <t>Step</t>
  </si>
  <si>
    <t>Single</t>
  </si>
  <si>
    <t>H</t>
  </si>
  <si>
    <t>Hammer</t>
  </si>
  <si>
    <t>Hole Diameter</t>
  </si>
  <si>
    <t>BQ</t>
  </si>
  <si>
    <t>HQ</t>
  </si>
  <si>
    <t>NQ</t>
  </si>
  <si>
    <t>PQ</t>
  </si>
  <si>
    <t>Open Hole</t>
  </si>
  <si>
    <t>PV</t>
  </si>
  <si>
    <t>PVC casing</t>
  </si>
  <si>
    <t>welded steel</t>
  </si>
  <si>
    <t>TS</t>
  </si>
  <si>
    <t>Treaded steel</t>
  </si>
  <si>
    <t>60mm</t>
  </si>
  <si>
    <t>80mm</t>
  </si>
  <si>
    <t>Wellsite</t>
  </si>
  <si>
    <t>GM</t>
  </si>
  <si>
    <t>DN</t>
  </si>
  <si>
    <t>CAL</t>
  </si>
  <si>
    <t>Lith Qualifier</t>
  </si>
  <si>
    <t>Spacing</t>
  </si>
  <si>
    <t>Dip</t>
  </si>
  <si>
    <t>Descript</t>
  </si>
  <si>
    <t>Type</t>
  </si>
  <si>
    <t>Bedding</t>
  </si>
  <si>
    <t>Association</t>
  </si>
  <si>
    <t>Abundance</t>
  </si>
  <si>
    <t>Min &amp; Fosil</t>
  </si>
  <si>
    <t>Tectonic Structure</t>
  </si>
  <si>
    <t>Space Bedding</t>
  </si>
  <si>
    <t>Very thick (&gt;1.0 m)</t>
  </si>
  <si>
    <t>Thick (0.3-1.0 m)</t>
  </si>
  <si>
    <t>Medium (0.1-0.3 m)</t>
  </si>
  <si>
    <t>Thin (3-10 cm)</t>
  </si>
  <si>
    <t>Very Thin (1-3 cm)</t>
  </si>
  <si>
    <t>Laminated (0.3-1cm)</t>
  </si>
  <si>
    <t>Thinly lam (&lt;0.3 cm)</t>
  </si>
  <si>
    <t>Separate Bedding</t>
  </si>
  <si>
    <t>Separt</t>
  </si>
  <si>
    <t>O</t>
  </si>
  <si>
    <t>Open</t>
  </si>
  <si>
    <t>C</t>
  </si>
  <si>
    <t>Closed</t>
  </si>
  <si>
    <t>Partly open</t>
  </si>
  <si>
    <t>Erosinal base</t>
  </si>
  <si>
    <t>Gelogical base</t>
  </si>
  <si>
    <t>I</t>
  </si>
  <si>
    <t>Irregular base</t>
  </si>
  <si>
    <t>L</t>
  </si>
  <si>
    <t>Load casting at base</t>
  </si>
  <si>
    <t>Sharp base</t>
  </si>
  <si>
    <t>K</t>
  </si>
  <si>
    <t>Slickenslided base</t>
  </si>
  <si>
    <t>Mineral &amp; Fossil</t>
  </si>
  <si>
    <t>Bioturbation</t>
  </si>
  <si>
    <t>Bivalves</t>
  </si>
  <si>
    <t>BM</t>
  </si>
  <si>
    <t>Black mica</t>
  </si>
  <si>
    <t>BU</t>
  </si>
  <si>
    <t>Burrows</t>
  </si>
  <si>
    <t>XL</t>
  </si>
  <si>
    <t>Carbonaceous laminae</t>
  </si>
  <si>
    <t>Chlorite</t>
  </si>
  <si>
    <t>Coaly fragments</t>
  </si>
  <si>
    <t>Coaly lamminae</t>
  </si>
  <si>
    <t>Coaly wisps</t>
  </si>
  <si>
    <t>Foraminifera</t>
  </si>
  <si>
    <t>Fragmented shells</t>
  </si>
  <si>
    <t>GL</t>
  </si>
  <si>
    <t>Green mica</t>
  </si>
  <si>
    <t>Plant fragments</t>
  </si>
  <si>
    <t>Resin</t>
  </si>
  <si>
    <t>Rock traces</t>
  </si>
  <si>
    <t>Shell fossils</t>
  </si>
  <si>
    <t>WM</t>
  </si>
  <si>
    <t>White mica</t>
  </si>
  <si>
    <t>Abundant</t>
  </si>
  <si>
    <t>Common</t>
  </si>
  <si>
    <t>Rare</t>
  </si>
  <si>
    <t>Sparse</t>
  </si>
  <si>
    <t>AR</t>
  </si>
  <si>
    <t>Asymetric ripple marks</t>
  </si>
  <si>
    <t>BA</t>
  </si>
  <si>
    <t>Banded</t>
  </si>
  <si>
    <t>CU</t>
  </si>
  <si>
    <t>Coarsening upwards</t>
  </si>
  <si>
    <t>Compaction feature</t>
  </si>
  <si>
    <t>OC</t>
  </si>
  <si>
    <t>Cone in cone structure</t>
  </si>
  <si>
    <t>XB</t>
  </si>
  <si>
    <t>Cross bedding</t>
  </si>
  <si>
    <t>Fine Bedding</t>
  </si>
  <si>
    <t>FV</t>
  </si>
  <si>
    <t>Fining upwards</t>
  </si>
  <si>
    <t>FC</t>
  </si>
  <si>
    <t>Flute casts</t>
  </si>
  <si>
    <t>GB</t>
  </si>
  <si>
    <t>Graded bedding</t>
  </si>
  <si>
    <t>IR</t>
  </si>
  <si>
    <t>Irregular Bedding</t>
  </si>
  <si>
    <t>Load Casts</t>
  </si>
  <si>
    <t>LM</t>
  </si>
  <si>
    <t>Laminae</t>
  </si>
  <si>
    <t>LN</t>
  </si>
  <si>
    <t>Lenticular Bedding</t>
  </si>
  <si>
    <t>MB</t>
  </si>
  <si>
    <t>Massive Bedding</t>
  </si>
  <si>
    <t>Microfaulting</t>
  </si>
  <si>
    <t>TD</t>
  </si>
  <si>
    <t>Tidal flat bedding</t>
  </si>
  <si>
    <t>Symetrical ripple marks</t>
  </si>
  <si>
    <t>Type Tec Structure</t>
  </si>
  <si>
    <t>Bedding planes</t>
  </si>
  <si>
    <t>With cleats</t>
  </si>
  <si>
    <t>F</t>
  </si>
  <si>
    <t>With Faults</t>
  </si>
  <si>
    <t>With fracture</t>
  </si>
  <si>
    <t>J</t>
  </si>
  <si>
    <t>With joints</t>
  </si>
  <si>
    <t>With shearing</t>
  </si>
  <si>
    <t>With veins</t>
  </si>
  <si>
    <t>Space Tec Structure</t>
  </si>
  <si>
    <t>Very wide (&gt;2.0m)</t>
  </si>
  <si>
    <t>Wide (0.6-2.0m)</t>
  </si>
  <si>
    <t>Moder wide (0.2-0.6m)</t>
  </si>
  <si>
    <t>Close (6-20cm)</t>
  </si>
  <si>
    <t>Very Close (2-6cm)</t>
  </si>
  <si>
    <t>Extremely Colse (&lt;2cm)</t>
  </si>
  <si>
    <t>Vertical/Subvertical</t>
  </si>
  <si>
    <t>Discontinuous</t>
  </si>
  <si>
    <t>Open, planar smooth</t>
  </si>
  <si>
    <t>Open, planar rough</t>
  </si>
  <si>
    <t>Open, non-planar</t>
  </si>
  <si>
    <t>Tight, planar smooth</t>
  </si>
  <si>
    <t>Tight, planar rough</t>
  </si>
  <si>
    <t>Tight, non-planar</t>
  </si>
  <si>
    <t>With slickenslides</t>
  </si>
  <si>
    <t>Description Tec Structure</t>
  </si>
  <si>
    <t>Sediment Structure</t>
  </si>
  <si>
    <t>BN</t>
  </si>
  <si>
    <t>Bands</t>
  </si>
  <si>
    <t>BP</t>
  </si>
  <si>
    <t>On bedding planes</t>
  </si>
  <si>
    <t>CE</t>
  </si>
  <si>
    <t>Cement</t>
  </si>
  <si>
    <t>CT</t>
  </si>
  <si>
    <t>On cleats</t>
  </si>
  <si>
    <t>DS</t>
  </si>
  <si>
    <t>Disseminated</t>
  </si>
  <si>
    <t>JT</t>
  </si>
  <si>
    <t>On joints'</t>
  </si>
  <si>
    <t>Laminaes</t>
  </si>
  <si>
    <t>Lenses</t>
  </si>
  <si>
    <t>NO</t>
  </si>
  <si>
    <t>Nodules</t>
  </si>
  <si>
    <t>Staining</t>
  </si>
  <si>
    <t>VE</t>
  </si>
  <si>
    <t>Veins</t>
  </si>
  <si>
    <t>Abundances Min &amp; Fossil</t>
  </si>
  <si>
    <t>CC</t>
  </si>
  <si>
    <t>LI</t>
  </si>
  <si>
    <t>ML</t>
  </si>
  <si>
    <t>MI</t>
  </si>
  <si>
    <t>PE</t>
  </si>
  <si>
    <t>QF</t>
  </si>
  <si>
    <t>QL</t>
  </si>
  <si>
    <t>QZ</t>
  </si>
  <si>
    <t>SA</t>
  </si>
  <si>
    <t>RA</t>
  </si>
  <si>
    <t>TH</t>
  </si>
  <si>
    <t>TK</t>
  </si>
  <si>
    <t>YN</t>
  </si>
  <si>
    <t>WS</t>
  </si>
  <si>
    <t>WY</t>
  </si>
  <si>
    <t>SD</t>
  </si>
  <si>
    <t>LT</t>
  </si>
  <si>
    <t>w</t>
  </si>
  <si>
    <t>Y</t>
  </si>
  <si>
    <t xml:space="preserve"> Whitish</t>
  </si>
  <si>
    <t xml:space="preserve"> Yellowish</t>
  </si>
  <si>
    <t>Full core</t>
  </si>
  <si>
    <t>Touch Core</t>
  </si>
  <si>
    <t>With bands</t>
  </si>
  <si>
    <t>Towards base</t>
  </si>
  <si>
    <t>Coarsening up to</t>
  </si>
  <si>
    <t>CX</t>
  </si>
  <si>
    <t>With cobbles of</t>
  </si>
  <si>
    <t>FU</t>
  </si>
  <si>
    <t>Fining up to</t>
  </si>
  <si>
    <t>IB</t>
  </si>
  <si>
    <t>Interbedded with</t>
  </si>
  <si>
    <t>With load cacts of</t>
  </si>
  <si>
    <t>With laminase of</t>
  </si>
  <si>
    <t>LH</t>
  </si>
  <si>
    <t>With lenses of</t>
  </si>
  <si>
    <t>MX</t>
  </si>
  <si>
    <t>With matrix of</t>
  </si>
  <si>
    <t>With pebbles of</t>
  </si>
  <si>
    <t>Throughout</t>
  </si>
  <si>
    <t>Sediment Relationship</t>
  </si>
  <si>
    <t>Sed Strc</t>
  </si>
  <si>
    <t xml:space="preserve"> Drill Detail</t>
  </si>
  <si>
    <t>Sedim Relat</t>
  </si>
  <si>
    <t>Porosity</t>
  </si>
  <si>
    <t>REC</t>
  </si>
  <si>
    <t>x</t>
  </si>
  <si>
    <t>v</t>
  </si>
  <si>
    <t>Drilling Contrac</t>
  </si>
  <si>
    <t>Well Site</t>
  </si>
  <si>
    <t>BORE HOLE COMPLETION</t>
  </si>
  <si>
    <t>DE</t>
  </si>
  <si>
    <t>Decomposed</t>
  </si>
  <si>
    <t>Continuity</t>
  </si>
  <si>
    <t>Running</t>
  </si>
  <si>
    <t>R_</t>
  </si>
  <si>
    <t>Sampling Date</t>
  </si>
  <si>
    <t>Adjusted Depth</t>
  </si>
  <si>
    <t>Remarks</t>
  </si>
  <si>
    <t>Length</t>
  </si>
  <si>
    <t>Coal Roof</t>
  </si>
  <si>
    <t>Coal Body</t>
  </si>
  <si>
    <t>Coal Floor</t>
  </si>
  <si>
    <t>Parting</t>
  </si>
  <si>
    <t>No</t>
  </si>
  <si>
    <t>Sample Position</t>
  </si>
  <si>
    <t>Code</t>
  </si>
  <si>
    <t>Description</t>
  </si>
  <si>
    <t>Roof</t>
  </si>
  <si>
    <t>Coal Body Parting</t>
  </si>
  <si>
    <t>Floor</t>
  </si>
  <si>
    <t>Sampling Library</t>
  </si>
  <si>
    <t>Log Basis</t>
  </si>
  <si>
    <t>T</t>
  </si>
  <si>
    <t>X</t>
  </si>
  <si>
    <t>Trench</t>
  </si>
  <si>
    <t>Shaft</t>
  </si>
  <si>
    <t>Outcrop</t>
  </si>
  <si>
    <t>Chip</t>
  </si>
  <si>
    <t>Chip &amp; Geophys. Log</t>
  </si>
  <si>
    <t>Core log</t>
  </si>
  <si>
    <t>Core</t>
  </si>
  <si>
    <t>Tungsten Coring  Bit</t>
  </si>
  <si>
    <t>Core very broken</t>
  </si>
  <si>
    <t>Roller Bit</t>
  </si>
  <si>
    <t>Blade Bit</t>
  </si>
  <si>
    <t>Diamond Coring Bit</t>
  </si>
  <si>
    <t>NA</t>
  </si>
  <si>
    <t>Not Available</t>
  </si>
  <si>
    <t>Date Drilling</t>
  </si>
  <si>
    <t>Ply 1</t>
  </si>
  <si>
    <t>Ply 2</t>
  </si>
  <si>
    <t>Ply 3</t>
  </si>
  <si>
    <t>Ply 4</t>
  </si>
  <si>
    <t>Ply 5</t>
  </si>
  <si>
    <t>Seam A</t>
  </si>
  <si>
    <t>Seam B</t>
  </si>
  <si>
    <t>Seam C</t>
  </si>
  <si>
    <t>Seam D</t>
  </si>
  <si>
    <t>Seam E</t>
  </si>
  <si>
    <t>CR</t>
  </si>
  <si>
    <t>CBP</t>
  </si>
  <si>
    <t>HOLE NUMBER</t>
  </si>
  <si>
    <t>DATE</t>
  </si>
  <si>
    <t>LINE</t>
  </si>
  <si>
    <t>MACHINE</t>
  </si>
  <si>
    <t>COORDINATE BY GPS</t>
  </si>
  <si>
    <t>COORDINATE BY TS</t>
  </si>
  <si>
    <t>DRILLING</t>
  </si>
  <si>
    <t>CORE    LENGTH            ( M )</t>
  </si>
  <si>
    <t>CORE    REC.             ( % )</t>
  </si>
  <si>
    <t xml:space="preserve">TOTAL DEPTH (m) </t>
  </si>
  <si>
    <t>COAL INTERVAL</t>
  </si>
  <si>
    <t>RECONCILE</t>
  </si>
  <si>
    <t>COAL
REC
( % )</t>
  </si>
  <si>
    <t>SEAM</t>
  </si>
  <si>
    <t>SAMPLE ID</t>
  </si>
  <si>
    <t>WATER LEVEL (m)</t>
  </si>
  <si>
    <t>REMARKS</t>
  </si>
  <si>
    <t>PLAN</t>
  </si>
  <si>
    <t>ACTUAL</t>
  </si>
  <si>
    <t>START</t>
  </si>
  <si>
    <t>FINISH</t>
  </si>
  <si>
    <t>RIG</t>
  </si>
  <si>
    <t>TYPE</t>
  </si>
  <si>
    <t>EASTING</t>
  </si>
  <si>
    <t>NORTHING</t>
  </si>
  <si>
    <t>ELV.</t>
  </si>
  <si>
    <t>OPEN HOLE ( M )</t>
  </si>
  <si>
    <t>RUN</t>
  </si>
  <si>
    <t>CORING ( M )</t>
  </si>
  <si>
    <t>BOR LOG ( M )</t>
  </si>
  <si>
    <t>E - LOG ( M )</t>
  </si>
  <si>
    <t>(M)</t>
  </si>
  <si>
    <t>FROM</t>
  </si>
  <si>
    <t>THICK</t>
  </si>
  <si>
    <t>LOGGING</t>
  </si>
  <si>
    <t>Log Rec.</t>
  </si>
  <si>
    <t>Core Recovery</t>
  </si>
  <si>
    <t>PICKING FROM</t>
  </si>
  <si>
    <t>LSD</t>
  </si>
  <si>
    <t>PT. BUDI GEMA GEMPITA</t>
  </si>
  <si>
    <t>: BGG Block 1</t>
  </si>
  <si>
    <t>BGG</t>
  </si>
  <si>
    <t>Jacro175</t>
  </si>
  <si>
    <t>NOTES: Untuk awal, bagian sampling ini nanti sy isi dulu. Pengambilan sample di lapangan lakukan secara ply by ply sesuai dengan SOP yang sudah dishare sebelumnya</t>
  </si>
  <si>
    <t xml:space="preserve">      Ketika proses review sy akan atur ply mana saja yg dapat dicomposite</t>
  </si>
  <si>
    <t>-</t>
  </si>
  <si>
    <t>AAS</t>
  </si>
  <si>
    <t>BSW</t>
  </si>
  <si>
    <t>JC_175</t>
  </si>
  <si>
    <t xml:space="preserve">: BGG Block Kungkilan </t>
  </si>
  <si>
    <t>S7</t>
  </si>
  <si>
    <t>PA</t>
  </si>
  <si>
    <t>S7A</t>
  </si>
  <si>
    <t>S7B</t>
  </si>
  <si>
    <t>S7C</t>
  </si>
  <si>
    <t>S7D</t>
  </si>
  <si>
    <t>NRL</t>
  </si>
  <si>
    <t/>
  </si>
  <si>
    <t>IMP</t>
  </si>
  <si>
    <t>02</t>
  </si>
  <si>
    <t>WRH</t>
  </si>
  <si>
    <t>AAS_02</t>
  </si>
  <si>
    <t>DH11_01</t>
  </si>
</sst>
</file>

<file path=xl/styles.xml><?xml version="1.0" encoding="utf-8"?>
<styleSheet xmlns="http://schemas.openxmlformats.org/spreadsheetml/2006/main">
  <numFmts count="6">
    <numFmt numFmtId="43" formatCode="_-* #,##0.00_-;\-* #,##0.00_-;_-* &quot;-&quot;??_-;_-@_-"/>
    <numFmt numFmtId="164" formatCode="_(* #,##0.00_);_(* \(#,##0.00\);_(* &quot;-&quot;??_);_(@_)"/>
    <numFmt numFmtId="165" formatCode="m/d/yy;@"/>
    <numFmt numFmtId="166" formatCode="0.0"/>
    <numFmt numFmtId="167" formatCode="[$-409]d\-mmm\-yy;@"/>
    <numFmt numFmtId="168" formatCode="0.000"/>
  </numFmts>
  <fonts count="28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Arial"/>
      <family val="2"/>
    </font>
    <font>
      <sz val="9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10"/>
      <color indexed="9"/>
      <name val="Calibri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9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8">
    <xf numFmtId="0" fontId="0" fillId="0" borderId="0"/>
    <xf numFmtId="0" fontId="2" fillId="0" borderId="0"/>
    <xf numFmtId="0" fontId="10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>
      <alignment vertical="top"/>
    </xf>
    <xf numFmtId="0" fontId="17" fillId="0" borderId="0"/>
    <xf numFmtId="0" fontId="2" fillId="0" borderId="0"/>
    <xf numFmtId="0" fontId="10" fillId="0" borderId="0"/>
    <xf numFmtId="0" fontId="17" fillId="0" borderId="0"/>
    <xf numFmtId="0" fontId="16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68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1" fillId="0" borderId="0" xfId="0" applyFont="1" applyFill="1"/>
    <xf numFmtId="0" fontId="6" fillId="0" borderId="0" xfId="0" applyNumberFormat="1" applyFont="1" applyFill="1" applyBorder="1" applyAlignment="1" applyProtection="1"/>
    <xf numFmtId="0" fontId="7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3" fillId="5" borderId="1" xfId="0" applyNumberFormat="1" applyFont="1" applyFill="1" applyBorder="1" applyAlignment="1">
      <alignment horizontal="right" textRotation="90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vertical="center"/>
    </xf>
    <xf numFmtId="2" fontId="3" fillId="5" borderId="1" xfId="0" applyNumberFormat="1" applyFont="1" applyFill="1" applyBorder="1" applyAlignment="1">
      <alignment horizontal="center" textRotation="90"/>
    </xf>
    <xf numFmtId="0" fontId="3" fillId="5" borderId="1" xfId="0" applyNumberFormat="1" applyFont="1" applyFill="1" applyBorder="1" applyAlignment="1">
      <alignment horizontal="center" textRotation="90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2" fontId="0" fillId="0" borderId="0" xfId="0" applyNumberFormat="1"/>
    <xf numFmtId="0" fontId="0" fillId="0" borderId="0" xfId="0" applyFill="1"/>
    <xf numFmtId="0" fontId="6" fillId="0" borderId="1" xfId="1" applyFont="1" applyFill="1" applyBorder="1" applyAlignment="1">
      <alignment vertical="center"/>
    </xf>
    <xf numFmtId="165" fontId="3" fillId="0" borderId="0" xfId="0" applyNumberFormat="1" applyFont="1" applyFill="1" applyAlignment="1">
      <alignment vertical="center"/>
    </xf>
    <xf numFmtId="0" fontId="1" fillId="0" borderId="0" xfId="0" applyFont="1" applyBorder="1"/>
    <xf numFmtId="166" fontId="6" fillId="0" borderId="1" xfId="0" applyNumberFormat="1" applyFont="1" applyFill="1" applyBorder="1" applyAlignment="1">
      <alignment horizontal="center" vertical="center"/>
    </xf>
    <xf numFmtId="2" fontId="13" fillId="8" borderId="1" xfId="1" applyNumberFormat="1" applyFont="1" applyFill="1" applyBorder="1" applyAlignment="1">
      <alignment horizontal="center" vertical="center"/>
    </xf>
    <xf numFmtId="1" fontId="11" fillId="0" borderId="0" xfId="1" applyNumberFormat="1" applyFont="1" applyFill="1" applyBorder="1" applyAlignment="1">
      <alignment horizontal="center" vertical="center"/>
    </xf>
    <xf numFmtId="2" fontId="11" fillId="0" borderId="0" xfId="1" applyNumberFormat="1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2" fontId="11" fillId="0" borderId="0" xfId="1" applyNumberFormat="1" applyFont="1" applyFill="1" applyBorder="1" applyAlignment="1">
      <alignment horizontal="center" vertical="center"/>
    </xf>
    <xf numFmtId="2" fontId="11" fillId="0" borderId="0" xfId="0" applyNumberFormat="1" applyFont="1" applyBorder="1" applyAlignment="1">
      <alignment horizontal="center" vertical="center"/>
    </xf>
    <xf numFmtId="2" fontId="12" fillId="0" borderId="0" xfId="2" applyNumberFormat="1" applyFont="1" applyBorder="1" applyAlignment="1">
      <alignment horizontal="center" vertical="center"/>
    </xf>
    <xf numFmtId="167" fontId="11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0" fontId="9" fillId="0" borderId="0" xfId="0" applyFont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7" fontId="6" fillId="0" borderId="1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2" fontId="4" fillId="0" borderId="0" xfId="1" applyNumberFormat="1" applyFont="1" applyFill="1" applyBorder="1" applyAlignment="1">
      <alignment horizontal="left" vertical="center"/>
    </xf>
    <xf numFmtId="2" fontId="4" fillId="0" borderId="0" xfId="1" applyNumberFormat="1" applyFont="1" applyFill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2" fontId="3" fillId="0" borderId="0" xfId="2" applyNumberFormat="1" applyFont="1" applyBorder="1" applyAlignment="1">
      <alignment horizontal="center" vertical="center"/>
    </xf>
    <xf numFmtId="167" fontId="4" fillId="0" borderId="0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6" fillId="0" borderId="0" xfId="10"/>
    <xf numFmtId="2" fontId="16" fillId="0" borderId="0" xfId="10" applyNumberFormat="1"/>
    <xf numFmtId="165" fontId="6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textRotation="90"/>
    </xf>
    <xf numFmtId="0" fontId="1" fillId="0" borderId="0" xfId="0" applyFont="1" applyFill="1" applyAlignment="1">
      <alignment horizontal="center"/>
    </xf>
    <xf numFmtId="2" fontId="6" fillId="0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166" fontId="1" fillId="0" borderId="0" xfId="0" applyNumberFormat="1" applyFont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167" fontId="1" fillId="0" borderId="0" xfId="0" applyNumberFormat="1" applyFont="1" applyBorder="1" applyAlignment="1">
      <alignment vertical="center"/>
    </xf>
    <xf numFmtId="0" fontId="1" fillId="0" borderId="0" xfId="0" applyNumberFormat="1" applyFont="1" applyBorder="1" applyAlignment="1">
      <alignment vertical="center"/>
    </xf>
    <xf numFmtId="2" fontId="1" fillId="0" borderId="0" xfId="0" applyNumberFormat="1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68" fontId="1" fillId="0" borderId="1" xfId="2" applyNumberFormat="1" applyFont="1" applyFill="1" applyBorder="1" applyAlignment="1">
      <alignment horizontal="center" vertical="center"/>
    </xf>
    <xf numFmtId="0" fontId="21" fillId="5" borderId="1" xfId="1" applyFont="1" applyFill="1" applyBorder="1" applyAlignment="1">
      <alignment horizontal="center" vertical="center"/>
    </xf>
    <xf numFmtId="2" fontId="21" fillId="5" borderId="1" xfId="2" applyNumberFormat="1" applyFont="1" applyFill="1" applyBorder="1" applyAlignment="1">
      <alignment horizontal="center" vertical="center" wrapText="1"/>
    </xf>
    <xf numFmtId="0" fontId="21" fillId="5" borderId="1" xfId="1" applyFont="1" applyFill="1" applyBorder="1" applyAlignment="1">
      <alignment horizontal="center" vertical="center" wrapText="1"/>
    </xf>
    <xf numFmtId="0" fontId="22" fillId="10" borderId="8" xfId="2" applyFont="1" applyFill="1" applyBorder="1" applyAlignment="1">
      <alignment horizontal="center" vertical="center"/>
    </xf>
    <xf numFmtId="0" fontId="23" fillId="10" borderId="8" xfId="2" applyFont="1" applyFill="1" applyBorder="1" applyAlignment="1">
      <alignment horizontal="center" vertical="center"/>
    </xf>
    <xf numFmtId="167" fontId="22" fillId="10" borderId="8" xfId="2" applyNumberFormat="1" applyFont="1" applyFill="1" applyBorder="1" applyAlignment="1">
      <alignment horizontal="center" vertical="center"/>
    </xf>
    <xf numFmtId="1" fontId="22" fillId="10" borderId="8" xfId="2" applyNumberFormat="1" applyFont="1" applyFill="1" applyBorder="1" applyAlignment="1">
      <alignment horizontal="center" vertical="center"/>
    </xf>
    <xf numFmtId="2" fontId="21" fillId="10" borderId="8" xfId="10" applyNumberFormat="1" applyFont="1" applyFill="1" applyBorder="1" applyAlignment="1">
      <alignment horizontal="center" vertical="center"/>
    </xf>
    <xf numFmtId="2" fontId="22" fillId="10" borderId="8" xfId="2" applyNumberFormat="1" applyFont="1" applyFill="1" applyBorder="1" applyAlignment="1">
      <alignment horizontal="center" vertical="center"/>
    </xf>
    <xf numFmtId="0" fontId="22" fillId="0" borderId="7" xfId="2" applyFont="1" applyBorder="1" applyAlignment="1">
      <alignment horizontal="center" vertical="center"/>
    </xf>
    <xf numFmtId="0" fontId="21" fillId="0" borderId="7" xfId="1" applyFont="1" applyBorder="1" applyAlignment="1">
      <alignment horizontal="center" vertical="center"/>
    </xf>
    <xf numFmtId="1" fontId="22" fillId="0" borderId="7" xfId="2" applyNumberFormat="1" applyFont="1" applyBorder="1" applyAlignment="1">
      <alignment horizontal="center" vertical="center"/>
    </xf>
    <xf numFmtId="2" fontId="21" fillId="0" borderId="7" xfId="10" applyNumberFormat="1" applyFont="1" applyBorder="1" applyAlignment="1">
      <alignment horizontal="center" vertical="center"/>
    </xf>
    <xf numFmtId="2" fontId="22" fillId="0" borderId="8" xfId="2" applyNumberFormat="1" applyFont="1" applyFill="1" applyBorder="1" applyAlignment="1">
      <alignment horizontal="center" vertical="center"/>
    </xf>
    <xf numFmtId="2" fontId="22" fillId="0" borderId="7" xfId="2" applyNumberFormat="1" applyFont="1" applyBorder="1" applyAlignment="1">
      <alignment horizontal="center" vertical="center"/>
    </xf>
    <xf numFmtId="2" fontId="22" fillId="0" borderId="9" xfId="2" applyNumberFormat="1" applyFont="1" applyBorder="1" applyAlignment="1">
      <alignment horizontal="center" vertical="center"/>
    </xf>
    <xf numFmtId="0" fontId="22" fillId="0" borderId="7" xfId="2" applyFont="1" applyBorder="1" applyAlignment="1">
      <alignment horizontal="left" vertical="center"/>
    </xf>
    <xf numFmtId="0" fontId="22" fillId="0" borderId="11" xfId="2" applyFont="1" applyBorder="1" applyAlignment="1">
      <alignment horizontal="center" vertical="center"/>
    </xf>
    <xf numFmtId="0" fontId="21" fillId="0" borderId="11" xfId="1" applyFont="1" applyBorder="1" applyAlignment="1">
      <alignment horizontal="center" vertical="center"/>
    </xf>
    <xf numFmtId="1" fontId="22" fillId="0" borderId="11" xfId="2" applyNumberFormat="1" applyFont="1" applyBorder="1" applyAlignment="1">
      <alignment horizontal="center" vertical="center"/>
    </xf>
    <xf numFmtId="2" fontId="22" fillId="0" borderId="6" xfId="2" applyNumberFormat="1" applyFont="1" applyFill="1" applyBorder="1" applyAlignment="1">
      <alignment horizontal="center" vertical="center"/>
    </xf>
    <xf numFmtId="2" fontId="22" fillId="0" borderId="11" xfId="2" applyNumberFormat="1" applyFont="1" applyBorder="1" applyAlignment="1">
      <alignment horizontal="center" vertical="center"/>
    </xf>
    <xf numFmtId="0" fontId="22" fillId="0" borderId="11" xfId="2" applyFont="1" applyBorder="1" applyAlignment="1">
      <alignment horizontal="left" vertical="center"/>
    </xf>
    <xf numFmtId="2" fontId="21" fillId="0" borderId="7" xfId="0" applyNumberFormat="1" applyFont="1" applyFill="1" applyBorder="1" applyAlignment="1">
      <alignment horizontal="center" vertical="center"/>
    </xf>
    <xf numFmtId="2" fontId="21" fillId="0" borderId="8" xfId="0" applyNumberFormat="1" applyFont="1" applyFill="1" applyBorder="1" applyAlignment="1">
      <alignment horizontal="center" vertical="center"/>
    </xf>
    <xf numFmtId="2" fontId="22" fillId="10" borderId="10" xfId="10" applyNumberFormat="1" applyFont="1" applyFill="1" applyBorder="1"/>
    <xf numFmtId="2" fontId="22" fillId="0" borderId="12" xfId="2" applyNumberFormat="1" applyFont="1" applyBorder="1" applyAlignment="1">
      <alignment horizontal="center" vertical="center"/>
    </xf>
    <xf numFmtId="2" fontId="22" fillId="0" borderId="13" xfId="2" applyNumberFormat="1" applyFont="1" applyBorder="1" applyAlignment="1">
      <alignment horizontal="center" vertical="center"/>
    </xf>
    <xf numFmtId="2" fontId="22" fillId="0" borderId="14" xfId="2" applyNumberFormat="1" applyFont="1" applyBorder="1" applyAlignment="1">
      <alignment horizontal="center" vertical="center"/>
    </xf>
    <xf numFmtId="2" fontId="21" fillId="0" borderId="15" xfId="0" applyNumberFormat="1" applyFont="1" applyFill="1" applyBorder="1" applyAlignment="1">
      <alignment horizontal="center" vertical="center"/>
    </xf>
    <xf numFmtId="2" fontId="22" fillId="0" borderId="16" xfId="2" applyNumberFormat="1" applyFont="1" applyBorder="1" applyAlignment="1">
      <alignment horizontal="center" vertical="center"/>
    </xf>
    <xf numFmtId="2" fontId="21" fillId="0" borderId="9" xfId="0" applyNumberFormat="1" applyFont="1" applyFill="1" applyBorder="1" applyAlignment="1">
      <alignment horizontal="center" vertical="center"/>
    </xf>
    <xf numFmtId="1" fontId="22" fillId="0" borderId="9" xfId="2" applyNumberFormat="1" applyFont="1" applyBorder="1" applyAlignment="1">
      <alignment horizontal="center" vertical="center"/>
    </xf>
    <xf numFmtId="2" fontId="23" fillId="0" borderId="7" xfId="2" applyNumberFormat="1" applyFont="1" applyBorder="1" applyAlignment="1">
      <alignment horizontal="center" vertical="center"/>
    </xf>
    <xf numFmtId="1" fontId="23" fillId="0" borderId="7" xfId="2" applyNumberFormat="1" applyFont="1" applyBorder="1" applyAlignment="1">
      <alignment horizontal="center" vertical="center"/>
    </xf>
    <xf numFmtId="0" fontId="23" fillId="0" borderId="7" xfId="2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3" fillId="0" borderId="9" xfId="2" applyNumberFormat="1" applyFont="1" applyBorder="1" applyAlignment="1">
      <alignment horizontal="center" vertical="center"/>
    </xf>
    <xf numFmtId="2" fontId="1" fillId="0" borderId="9" xfId="2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25" fillId="0" borderId="7" xfId="2" applyFont="1" applyBorder="1" applyAlignment="1">
      <alignment horizontal="left" vertical="center"/>
    </xf>
    <xf numFmtId="0" fontId="26" fillId="0" borderId="7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2" fontId="4" fillId="11" borderId="0" xfId="1" applyNumberFormat="1" applyFont="1" applyFill="1" applyBorder="1" applyAlignment="1">
      <alignment horizontal="left" vertical="center"/>
    </xf>
    <xf numFmtId="2" fontId="4" fillId="11" borderId="0" xfId="1" applyNumberFormat="1" applyFont="1" applyFill="1" applyBorder="1" applyAlignment="1">
      <alignment horizontal="center" vertical="center"/>
    </xf>
    <xf numFmtId="2" fontId="4" fillId="11" borderId="0" xfId="0" applyNumberFormat="1" applyFont="1" applyFill="1" applyBorder="1" applyAlignment="1">
      <alignment horizontal="center" vertical="center"/>
    </xf>
    <xf numFmtId="167" fontId="4" fillId="11" borderId="0" xfId="0" applyNumberFormat="1" applyFont="1" applyFill="1" applyBorder="1" applyAlignment="1">
      <alignment horizontal="center" vertical="center"/>
    </xf>
    <xf numFmtId="0" fontId="3" fillId="11" borderId="0" xfId="0" applyFont="1" applyFill="1"/>
    <xf numFmtId="0" fontId="3" fillId="11" borderId="0" xfId="0" applyFont="1" applyFill="1" applyAlignment="1">
      <alignment horizontal="center" vertical="center"/>
    </xf>
    <xf numFmtId="2" fontId="2" fillId="11" borderId="0" xfId="1" applyNumberFormat="1" applyFont="1" applyFill="1" applyBorder="1" applyAlignment="1">
      <alignment horizontal="left" vertical="center"/>
    </xf>
    <xf numFmtId="2" fontId="2" fillId="11" borderId="0" xfId="1" applyNumberFormat="1" applyFont="1" applyFill="1" applyBorder="1" applyAlignment="1">
      <alignment horizontal="center" vertical="center"/>
    </xf>
    <xf numFmtId="2" fontId="2" fillId="11" borderId="0" xfId="0" applyNumberFormat="1" applyFont="1" applyFill="1" applyBorder="1" applyAlignment="1">
      <alignment horizontal="center" vertical="center"/>
    </xf>
    <xf numFmtId="167" fontId="2" fillId="11" borderId="0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165" fontId="27" fillId="0" borderId="1" xfId="0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2" fontId="27" fillId="0" borderId="1" xfId="0" applyNumberFormat="1" applyFont="1" applyFill="1" applyBorder="1" applyAlignment="1">
      <alignment horizontal="center" vertical="center"/>
    </xf>
    <xf numFmtId="1" fontId="27" fillId="0" borderId="1" xfId="0" applyNumberFormat="1" applyFont="1" applyFill="1" applyBorder="1" applyAlignment="1">
      <alignment horizontal="center" vertical="center"/>
    </xf>
    <xf numFmtId="166" fontId="27" fillId="0" borderId="1" xfId="0" applyNumberFormat="1" applyFont="1" applyFill="1" applyBorder="1" applyAlignment="1">
      <alignment horizontal="center" vertical="center"/>
    </xf>
    <xf numFmtId="167" fontId="27" fillId="0" borderId="1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67" fontId="4" fillId="12" borderId="0" xfId="0" applyNumberFormat="1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2" fontId="4" fillId="12" borderId="0" xfId="0" applyNumberFormat="1" applyFont="1" applyFill="1" applyAlignment="1">
      <alignment horizontal="center" vertical="center"/>
    </xf>
    <xf numFmtId="1" fontId="4" fillId="12" borderId="0" xfId="0" applyNumberFormat="1" applyFont="1" applyFill="1" applyAlignment="1">
      <alignment horizontal="center" vertical="center"/>
    </xf>
    <xf numFmtId="0" fontId="0" fillId="12" borderId="0" xfId="0" applyFill="1"/>
    <xf numFmtId="0" fontId="7" fillId="12" borderId="0" xfId="0" applyFont="1" applyFill="1" applyAlignment="1">
      <alignment vertical="center"/>
    </xf>
    <xf numFmtId="167" fontId="21" fillId="12" borderId="0" xfId="0" applyNumberFormat="1" applyFont="1" applyFill="1" applyAlignment="1">
      <alignment vertical="center"/>
    </xf>
    <xf numFmtId="167" fontId="21" fillId="12" borderId="0" xfId="0" applyNumberFormat="1" applyFont="1" applyFill="1" applyAlignment="1">
      <alignment horizontal="left" vertical="center"/>
    </xf>
    <xf numFmtId="0" fontId="21" fillId="12" borderId="0" xfId="0" applyFont="1" applyFill="1" applyAlignment="1">
      <alignment horizontal="left" vertical="center"/>
    </xf>
    <xf numFmtId="0" fontId="21" fillId="12" borderId="0" xfId="0" applyFont="1" applyFill="1" applyAlignment="1">
      <alignment horizontal="center" vertical="center"/>
    </xf>
    <xf numFmtId="2" fontId="21" fillId="12" borderId="0" xfId="0" applyNumberFormat="1" applyFont="1" applyFill="1" applyAlignment="1">
      <alignment horizontal="center" vertical="center"/>
    </xf>
    <xf numFmtId="1" fontId="21" fillId="12" borderId="0" xfId="0" applyNumberFormat="1" applyFont="1" applyFill="1" applyAlignment="1">
      <alignment horizontal="center" vertical="center"/>
    </xf>
    <xf numFmtId="0" fontId="21" fillId="12" borderId="0" xfId="0" applyFont="1" applyFill="1" applyAlignment="1">
      <alignment vertical="center"/>
    </xf>
    <xf numFmtId="0" fontId="24" fillId="12" borderId="0" xfId="0" applyFont="1" applyFill="1"/>
    <xf numFmtId="167" fontId="21" fillId="12" borderId="0" xfId="0" applyNumberFormat="1" applyFont="1" applyFill="1" applyAlignment="1">
      <alignment horizontal="center" vertical="center"/>
    </xf>
    <xf numFmtId="0" fontId="22" fillId="12" borderId="0" xfId="2" applyFont="1" applyFill="1" applyBorder="1" applyAlignment="1">
      <alignment horizontal="center" vertical="center"/>
    </xf>
    <xf numFmtId="0" fontId="21" fillId="12" borderId="0" xfId="1" applyFont="1" applyFill="1" applyBorder="1" applyAlignment="1">
      <alignment horizontal="center" vertical="center"/>
    </xf>
    <xf numFmtId="1" fontId="22" fillId="12" borderId="0" xfId="2" applyNumberFormat="1" applyFont="1" applyFill="1" applyBorder="1" applyAlignment="1">
      <alignment horizontal="center" vertical="center"/>
    </xf>
    <xf numFmtId="2" fontId="21" fillId="12" borderId="0" xfId="10" applyNumberFormat="1" applyFont="1" applyFill="1" applyBorder="1" applyAlignment="1">
      <alignment horizontal="center" vertical="center"/>
    </xf>
    <xf numFmtId="2" fontId="22" fillId="12" borderId="0" xfId="2" applyNumberFormat="1" applyFont="1" applyFill="1" applyBorder="1" applyAlignment="1">
      <alignment horizontal="center" vertical="center"/>
    </xf>
    <xf numFmtId="2" fontId="22" fillId="12" borderId="19" xfId="2" applyNumberFormat="1" applyFont="1" applyFill="1" applyBorder="1" applyAlignment="1">
      <alignment horizontal="center" vertical="center"/>
    </xf>
    <xf numFmtId="1" fontId="23" fillId="12" borderId="19" xfId="2" applyNumberFormat="1" applyFont="1" applyFill="1" applyBorder="1" applyAlignment="1">
      <alignment horizontal="center" vertical="center"/>
    </xf>
    <xf numFmtId="2" fontId="23" fillId="12" borderId="19" xfId="2" applyNumberFormat="1" applyFont="1" applyFill="1" applyBorder="1" applyAlignment="1">
      <alignment horizontal="center" vertical="center"/>
    </xf>
    <xf numFmtId="2" fontId="23" fillId="12" borderId="20" xfId="2" applyNumberFormat="1" applyFont="1" applyFill="1" applyBorder="1" applyAlignment="1">
      <alignment horizontal="center" vertical="center"/>
    </xf>
    <xf numFmtId="0" fontId="22" fillId="12" borderId="0" xfId="2" applyFont="1" applyFill="1" applyBorder="1" applyAlignment="1">
      <alignment horizontal="left" vertical="center"/>
    </xf>
    <xf numFmtId="0" fontId="16" fillId="12" borderId="0" xfId="10" applyFill="1"/>
    <xf numFmtId="0" fontId="20" fillId="12" borderId="0" xfId="2" applyFont="1" applyFill="1" applyBorder="1" applyAlignment="1">
      <alignment horizontal="center" vertical="center"/>
    </xf>
    <xf numFmtId="0" fontId="2" fillId="12" borderId="0" xfId="1" applyFill="1" applyBorder="1" applyAlignment="1">
      <alignment horizontal="center" vertical="center"/>
    </xf>
    <xf numFmtId="1" fontId="20" fillId="12" borderId="0" xfId="2" applyNumberFormat="1" applyFont="1" applyFill="1" applyBorder="1" applyAlignment="1">
      <alignment horizontal="center" vertical="center"/>
    </xf>
    <xf numFmtId="2" fontId="2" fillId="12" borderId="0" xfId="10" applyNumberFormat="1" applyFont="1" applyFill="1" applyBorder="1" applyAlignment="1">
      <alignment horizontal="center" vertical="center"/>
    </xf>
    <xf numFmtId="2" fontId="20" fillId="12" borderId="0" xfId="2" applyNumberFormat="1" applyFont="1" applyFill="1" applyBorder="1" applyAlignment="1">
      <alignment horizontal="center" vertical="center"/>
    </xf>
    <xf numFmtId="2" fontId="20" fillId="12" borderId="0" xfId="10" applyNumberFormat="1" applyFont="1" applyFill="1" applyBorder="1"/>
    <xf numFmtId="0" fontId="20" fillId="12" borderId="0" xfId="2" applyFont="1" applyFill="1" applyBorder="1" applyAlignment="1">
      <alignment horizontal="left" vertical="center"/>
    </xf>
    <xf numFmtId="2" fontId="16" fillId="12" borderId="0" xfId="10" applyNumberFormat="1" applyFill="1"/>
    <xf numFmtId="0" fontId="16" fillId="12" borderId="0" xfId="10" applyFill="1" applyBorder="1"/>
    <xf numFmtId="2" fontId="16" fillId="12" borderId="0" xfId="10" applyNumberFormat="1" applyFill="1" applyBorder="1"/>
    <xf numFmtId="0" fontId="16" fillId="12" borderId="0" xfId="10" applyFill="1" applyBorder="1" applyAlignment="1">
      <alignment vertical="center"/>
    </xf>
    <xf numFmtId="2" fontId="16" fillId="12" borderId="0" xfId="10" applyNumberFormat="1" applyFill="1" applyBorder="1" applyAlignment="1">
      <alignment horizontal="center" vertical="center"/>
    </xf>
    <xf numFmtId="167" fontId="1" fillId="0" borderId="1" xfId="2" applyNumberFormat="1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168" fontId="22" fillId="10" borderId="8" xfId="2" quotePrefix="1" applyNumberFormat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165" fontId="6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2" fontId="6" fillId="12" borderId="1" xfId="0" applyNumberFormat="1" applyFont="1" applyFill="1" applyBorder="1" applyAlignment="1">
      <alignment horizontal="center" vertical="center"/>
    </xf>
    <xf numFmtId="166" fontId="6" fillId="12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167" fontId="6" fillId="12" borderId="1" xfId="0" applyNumberFormat="1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6" fillId="12" borderId="1" xfId="0" quotePrefix="1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 wrapText="1"/>
    </xf>
    <xf numFmtId="0" fontId="1" fillId="6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textRotation="90" wrapText="1"/>
    </xf>
    <xf numFmtId="0" fontId="3" fillId="6" borderId="1" xfId="0" applyNumberFormat="1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3" fillId="5" borderId="1" xfId="0" applyNumberFormat="1" applyFont="1" applyFill="1" applyBorder="1" applyAlignment="1">
      <alignment horizontal="center" textRotation="90"/>
    </xf>
    <xf numFmtId="0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textRotation="90" wrapText="1"/>
    </xf>
    <xf numFmtId="0" fontId="3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2" fontId="23" fillId="12" borderId="17" xfId="10" applyNumberFormat="1" applyFont="1" applyFill="1" applyBorder="1" applyAlignment="1">
      <alignment horizontal="center" vertical="center"/>
    </xf>
    <xf numFmtId="2" fontId="23" fillId="12" borderId="18" xfId="10" applyNumberFormat="1" applyFont="1" applyFill="1" applyBorder="1" applyAlignment="1">
      <alignment horizontal="center" vertical="center"/>
    </xf>
    <xf numFmtId="0" fontId="21" fillId="5" borderId="1" xfId="1" applyFont="1" applyFill="1" applyBorder="1" applyAlignment="1">
      <alignment horizontal="center" vertical="center"/>
    </xf>
    <xf numFmtId="2" fontId="21" fillId="5" borderId="1" xfId="1" applyNumberFormat="1" applyFont="1" applyFill="1" applyBorder="1" applyAlignment="1">
      <alignment horizontal="center" vertical="center"/>
    </xf>
    <xf numFmtId="2" fontId="21" fillId="3" borderId="1" xfId="2" applyNumberFormat="1" applyFont="1" applyFill="1" applyBorder="1" applyAlignment="1">
      <alignment horizontal="center" vertical="center" wrapText="1"/>
    </xf>
    <xf numFmtId="0" fontId="21" fillId="5" borderId="1" xfId="1" applyFont="1" applyFill="1" applyBorder="1" applyAlignment="1">
      <alignment horizontal="center" vertical="center" textRotation="255" shrinkToFit="1"/>
    </xf>
    <xf numFmtId="0" fontId="21" fillId="5" borderId="1" xfId="1" applyFont="1" applyFill="1" applyBorder="1" applyAlignment="1">
      <alignment vertical="center" shrinkToFit="1"/>
    </xf>
    <xf numFmtId="0" fontId="21" fillId="3" borderId="1" xfId="1" applyFont="1" applyFill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21" fillId="3" borderId="1" xfId="1" applyFont="1" applyFill="1" applyBorder="1" applyAlignment="1">
      <alignment horizontal="center" vertical="center" wrapText="1"/>
    </xf>
    <xf numFmtId="1" fontId="21" fillId="5" borderId="1" xfId="1" applyNumberFormat="1" applyFont="1" applyFill="1" applyBorder="1" applyAlignment="1">
      <alignment horizontal="center" vertical="center"/>
    </xf>
    <xf numFmtId="0" fontId="21" fillId="5" borderId="1" xfId="1" applyFont="1" applyFill="1" applyBorder="1" applyAlignment="1">
      <alignment horizontal="center" vertical="center" wrapText="1"/>
    </xf>
    <xf numFmtId="2" fontId="21" fillId="3" borderId="1" xfId="2" applyNumberFormat="1" applyFont="1" applyFill="1" applyBorder="1" applyAlignment="1">
      <alignment horizontal="center" vertical="center"/>
    </xf>
    <xf numFmtId="2" fontId="21" fillId="5" borderId="1" xfId="2" applyNumberFormat="1" applyFont="1" applyFill="1" applyBorder="1" applyAlignment="1">
      <alignment horizontal="center" vertical="center" wrapText="1"/>
    </xf>
    <xf numFmtId="9" fontId="21" fillId="5" borderId="1" xfId="2" applyNumberFormat="1" applyFont="1" applyFill="1" applyBorder="1" applyAlignment="1">
      <alignment horizontal="center" vertical="center" wrapText="1"/>
    </xf>
    <xf numFmtId="0" fontId="13" fillId="8" borderId="2" xfId="1" applyFont="1" applyFill="1" applyBorder="1" applyAlignment="1">
      <alignment horizontal="center" vertical="center" wrapText="1"/>
    </xf>
    <xf numFmtId="0" fontId="13" fillId="8" borderId="6" xfId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13" fillId="8" borderId="1" xfId="1" applyFont="1" applyFill="1" applyBorder="1" applyAlignment="1">
      <alignment horizontal="center" vertical="center"/>
    </xf>
    <xf numFmtId="2" fontId="13" fillId="8" borderId="1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6" fontId="6" fillId="2" borderId="3" xfId="0" applyNumberFormat="1" applyFont="1" applyFill="1" applyBorder="1" applyAlignment="1">
      <alignment horizontal="center"/>
    </xf>
    <xf numFmtId="166" fontId="6" fillId="2" borderId="5" xfId="0" applyNumberFormat="1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center"/>
    </xf>
  </cellXfs>
  <cellStyles count="28">
    <cellStyle name="Comma 2" xfId="11"/>
    <cellStyle name="Comma 2 2" xfId="12"/>
    <cellStyle name="Comma 2 2 2" xfId="13"/>
    <cellStyle name="Comma 2 2 2 2" xfId="14"/>
    <cellStyle name="Comma 2 2 3" xfId="15"/>
    <cellStyle name="Comma 3" xfId="16"/>
    <cellStyle name="Comma 3 2" xfId="17"/>
    <cellStyle name="Comma 4" xfId="18"/>
    <cellStyle name="Hyperlink 2" xfId="19"/>
    <cellStyle name="Normal" xfId="0" builtinId="0"/>
    <cellStyle name="Normal 2" xfId="1"/>
    <cellStyle name="Normal 2 2" xfId="20"/>
    <cellStyle name="Normal 2 2 2" xfId="21"/>
    <cellStyle name="Normal 2 2 2 2" xfId="22"/>
    <cellStyle name="Normal 3" xfId="2"/>
    <cellStyle name="Normal 3 2" xfId="23"/>
    <cellStyle name="Normal 3 3" xfId="24"/>
    <cellStyle name="Normal 3 4" xfId="25"/>
    <cellStyle name="Normal 4" xfId="3"/>
    <cellStyle name="Normal 4 2" xfId="4"/>
    <cellStyle name="Normal 4 3" xfId="5"/>
    <cellStyle name="Normal 4 4" xfId="6"/>
    <cellStyle name="Normal 4 5" xfId="7"/>
    <cellStyle name="Normal 4 6" xfId="9"/>
    <cellStyle name="Normal 4 7" xfId="8"/>
    <cellStyle name="Normal 5" xfId="10"/>
    <cellStyle name="Percent 2" xfId="26"/>
    <cellStyle name="Percent 2 2" xfId="27"/>
  </cellStyles>
  <dxfs count="1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FF0000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66FF99"/>
      <color rgb="FFFFFF99"/>
      <color rgb="FFCC99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REPORT/WELLSITE%20DATABASE/02.%20FEBRUARY%202013/WEEK%20III%20(16%20-%2022%20Feb%202013)/PBS_22/Excel%20Form_PBS_22/Coal_Database_PBS_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KULI%20BPMS/DATABASE/PT.%20Mutu/Contoh_Wellsite%20Database_D2OH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LL_Wellsite"/>
      <sheetName val="SLL_WellCad"/>
      <sheetName val="Library SLL"/>
      <sheetName val="Collar"/>
      <sheetName val="Libray Collar"/>
      <sheetName val="Sampling"/>
      <sheetName val="BHC"/>
    </sheetNames>
    <sheetDataSet>
      <sheetData sheetId="0"/>
      <sheetData sheetId="1"/>
      <sheetData sheetId="2">
        <row r="15">
          <cell r="A15" t="str">
            <v>A</v>
          </cell>
        </row>
        <row r="16">
          <cell r="A16" t="str">
            <v>B</v>
          </cell>
        </row>
        <row r="17">
          <cell r="A17" t="str">
            <v>D</v>
          </cell>
        </row>
        <row r="18">
          <cell r="A18" t="str">
            <v>H</v>
          </cell>
        </row>
        <row r="19">
          <cell r="A19" t="str">
            <v>I</v>
          </cell>
        </row>
        <row r="20">
          <cell r="A20" t="str">
            <v>L</v>
          </cell>
        </row>
        <row r="21">
          <cell r="A21" t="str">
            <v>P</v>
          </cell>
        </row>
        <row r="22">
          <cell r="A22" t="str">
            <v>S</v>
          </cell>
        </row>
        <row r="23">
          <cell r="A23" t="str">
            <v>T</v>
          </cell>
        </row>
        <row r="24">
          <cell r="A24" t="str">
            <v>W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LL_Wellsite"/>
      <sheetName val="SLL_WellCad"/>
      <sheetName val="Collar"/>
      <sheetName val="BHC"/>
      <sheetName val="Sampling"/>
      <sheetName val="Library SLL"/>
      <sheetName val="Library Collar"/>
    </sheetNames>
    <sheetDataSet>
      <sheetData sheetId="0" refreshError="1">
        <row r="11">
          <cell r="A11" t="str">
            <v>D2OH</v>
          </cell>
        </row>
      </sheetData>
      <sheetData sheetId="1" refreshError="1">
        <row r="10">
          <cell r="H10">
            <v>2.5499999999999998</v>
          </cell>
          <cell r="AT10">
            <v>43683</v>
          </cell>
        </row>
        <row r="11">
          <cell r="H11">
            <v>3.05</v>
          </cell>
          <cell r="AT11">
            <v>43683</v>
          </cell>
        </row>
        <row r="12">
          <cell r="H12">
            <v>3.25</v>
          </cell>
          <cell r="AQ12" t="str">
            <v>M9</v>
          </cell>
          <cell r="AT12">
            <v>43683</v>
          </cell>
        </row>
        <row r="13">
          <cell r="H13">
            <v>3.5</v>
          </cell>
          <cell r="AT13">
            <v>43683</v>
          </cell>
        </row>
        <row r="14">
          <cell r="H14">
            <v>4.75</v>
          </cell>
          <cell r="AQ14" t="str">
            <v>M9</v>
          </cell>
          <cell r="AT14">
            <v>43683</v>
          </cell>
        </row>
        <row r="15">
          <cell r="H15">
            <v>8.6</v>
          </cell>
          <cell r="AT15">
            <v>43683</v>
          </cell>
        </row>
        <row r="16">
          <cell r="H16">
            <v>9.8000000000000007</v>
          </cell>
          <cell r="AT16">
            <v>43683</v>
          </cell>
        </row>
        <row r="17">
          <cell r="H17">
            <v>11.1</v>
          </cell>
          <cell r="AT17">
            <v>43683</v>
          </cell>
        </row>
        <row r="18">
          <cell r="H18">
            <v>11.4</v>
          </cell>
          <cell r="AT18">
            <v>43683</v>
          </cell>
        </row>
        <row r="19">
          <cell r="H19">
            <v>14.1</v>
          </cell>
          <cell r="AT19">
            <v>43683</v>
          </cell>
        </row>
        <row r="20">
          <cell r="H20">
            <v>14.6</v>
          </cell>
          <cell r="AT20">
            <v>43683</v>
          </cell>
        </row>
        <row r="21">
          <cell r="H21">
            <v>15.3</v>
          </cell>
          <cell r="AT21">
            <v>43683</v>
          </cell>
        </row>
        <row r="22">
          <cell r="H22">
            <v>15.8</v>
          </cell>
          <cell r="AT22">
            <v>43683</v>
          </cell>
        </row>
        <row r="23">
          <cell r="H23">
            <v>21.3</v>
          </cell>
          <cell r="AT23">
            <v>43683</v>
          </cell>
        </row>
        <row r="24">
          <cell r="H24">
            <v>21.6</v>
          </cell>
          <cell r="AT24">
            <v>43683</v>
          </cell>
        </row>
        <row r="25">
          <cell r="H25">
            <v>23.2</v>
          </cell>
          <cell r="AT25">
            <v>43683</v>
          </cell>
        </row>
        <row r="26">
          <cell r="H26">
            <v>25.8</v>
          </cell>
          <cell r="AT26">
            <v>43683</v>
          </cell>
        </row>
        <row r="27">
          <cell r="H27">
            <v>28.3</v>
          </cell>
          <cell r="AT27">
            <v>43683</v>
          </cell>
        </row>
        <row r="28">
          <cell r="H28">
            <v>28.9</v>
          </cell>
          <cell r="AQ28" t="str">
            <v>M8</v>
          </cell>
          <cell r="AT28">
            <v>43683</v>
          </cell>
        </row>
        <row r="29">
          <cell r="H29">
            <v>29.55</v>
          </cell>
          <cell r="AT29">
            <v>43683</v>
          </cell>
        </row>
        <row r="30">
          <cell r="H30">
            <v>33.4</v>
          </cell>
          <cell r="AT30">
            <v>43683</v>
          </cell>
        </row>
        <row r="31">
          <cell r="H31">
            <v>51.4</v>
          </cell>
          <cell r="AT31">
            <v>43683</v>
          </cell>
        </row>
        <row r="32">
          <cell r="H32">
            <v>54.4</v>
          </cell>
          <cell r="AT32">
            <v>43683</v>
          </cell>
        </row>
        <row r="33">
          <cell r="H33">
            <v>58.4</v>
          </cell>
          <cell r="AT33">
            <v>43683</v>
          </cell>
        </row>
        <row r="34">
          <cell r="H34">
            <v>63.7</v>
          </cell>
          <cell r="AT34">
            <v>43683</v>
          </cell>
        </row>
        <row r="35">
          <cell r="H35">
            <v>64.099999999999994</v>
          </cell>
          <cell r="AQ35" t="str">
            <v>M7</v>
          </cell>
          <cell r="AT35">
            <v>43683</v>
          </cell>
        </row>
        <row r="36">
          <cell r="H36">
            <v>69.3</v>
          </cell>
          <cell r="AT36">
            <v>43683</v>
          </cell>
        </row>
        <row r="37">
          <cell r="H37">
            <v>72.7</v>
          </cell>
          <cell r="AT37">
            <v>43683</v>
          </cell>
        </row>
        <row r="38">
          <cell r="H38">
            <v>81</v>
          </cell>
          <cell r="AT38">
            <v>43683</v>
          </cell>
        </row>
        <row r="39">
          <cell r="H39">
            <v>87.8</v>
          </cell>
          <cell r="AT39">
            <v>43683</v>
          </cell>
        </row>
        <row r="40">
          <cell r="H40">
            <v>91.05</v>
          </cell>
          <cell r="AT40">
            <v>43683</v>
          </cell>
        </row>
      </sheetData>
      <sheetData sheetId="2" refreshError="1">
        <row r="5">
          <cell r="I5">
            <v>43681</v>
          </cell>
        </row>
      </sheetData>
      <sheetData sheetId="3" refreshError="1"/>
      <sheetData sheetId="4" refreshError="1"/>
      <sheetData sheetId="5" refreshError="1">
        <row r="2">
          <cell r="V2" t="str">
            <v>DB</v>
          </cell>
          <cell r="Y2" t="str">
            <v>AI</v>
          </cell>
        </row>
        <row r="3">
          <cell r="V3" t="str">
            <v>SY</v>
          </cell>
          <cell r="Y3" t="str">
            <v>AR</v>
          </cell>
        </row>
        <row r="4">
          <cell r="V4" t="str">
            <v>AQ</v>
          </cell>
          <cell r="Y4" t="str">
            <v>AY</v>
          </cell>
        </row>
        <row r="5">
          <cell r="V5" t="str">
            <v>FB</v>
          </cell>
          <cell r="Y5" t="str">
            <v>AK</v>
          </cell>
        </row>
        <row r="6">
          <cell r="V6" t="str">
            <v>AS</v>
          </cell>
          <cell r="Y6" t="str">
            <v>FA</v>
          </cell>
        </row>
        <row r="7">
          <cell r="V7" t="str">
            <v>AG</v>
          </cell>
          <cell r="Y7" t="str">
            <v>FG</v>
          </cell>
        </row>
        <row r="8">
          <cell r="V8" t="str">
            <v>AR</v>
          </cell>
          <cell r="Y8" t="str">
            <v>BS</v>
          </cell>
        </row>
        <row r="9">
          <cell r="V9" t="str">
            <v>JD</v>
          </cell>
          <cell r="Y9" t="str">
            <v>AL</v>
          </cell>
        </row>
        <row r="10">
          <cell r="V10" t="str">
            <v>AI</v>
          </cell>
          <cell r="Y10" t="str">
            <v>RI</v>
          </cell>
        </row>
        <row r="11">
          <cell r="V11" t="str">
            <v>DB&amp;SY</v>
          </cell>
          <cell r="Y11" t="str">
            <v>AI&amp;AR</v>
          </cell>
        </row>
        <row r="12">
          <cell r="V12" t="str">
            <v>AQ&amp;FB</v>
          </cell>
          <cell r="Y12" t="str">
            <v>AY&amp;AK</v>
          </cell>
        </row>
        <row r="13">
          <cell r="V13" t="str">
            <v>AS&amp;AG</v>
          </cell>
          <cell r="Y13" t="str">
            <v>FA&amp;FG</v>
          </cell>
        </row>
        <row r="14">
          <cell r="V14" t="str">
            <v>AR&amp;JD</v>
          </cell>
          <cell r="Y14" t="str">
            <v>BS&amp;AL</v>
          </cell>
        </row>
      </sheetData>
      <sheetData sheetId="6" refreshError="1">
        <row r="2">
          <cell r="A2" t="str">
            <v>BPMS</v>
          </cell>
          <cell r="D2" t="str">
            <v>BPMS</v>
          </cell>
          <cell r="G2" t="str">
            <v>REC</v>
          </cell>
        </row>
        <row r="6">
          <cell r="A6" t="str">
            <v>dGPS</v>
          </cell>
          <cell r="D6" t="str">
            <v>JC1</v>
          </cell>
          <cell r="G6" t="str">
            <v>BR</v>
          </cell>
        </row>
        <row r="7">
          <cell r="A7" t="str">
            <v>GPS</v>
          </cell>
          <cell r="D7" t="str">
            <v>JC2</v>
          </cell>
          <cell r="G7" t="str">
            <v>AS</v>
          </cell>
        </row>
        <row r="8">
          <cell r="A8" t="str">
            <v>TC</v>
          </cell>
          <cell r="G8" t="str">
            <v>BR/AS</v>
          </cell>
        </row>
        <row r="9">
          <cell r="A9" t="str">
            <v>TS</v>
          </cell>
        </row>
        <row r="10">
          <cell r="A10" t="str">
            <v>UT</v>
          </cell>
        </row>
        <row r="12">
          <cell r="A12" t="str">
            <v>AW</v>
          </cell>
          <cell r="D12" t="str">
            <v>BDS-01</v>
          </cell>
          <cell r="G12" t="str">
            <v>x</v>
          </cell>
        </row>
        <row r="13">
          <cell r="A13" t="str">
            <v>RD</v>
          </cell>
          <cell r="D13" t="str">
            <v>BDS-02</v>
          </cell>
          <cell r="G13" t="str">
            <v>v</v>
          </cell>
        </row>
        <row r="14">
          <cell r="D14" t="str">
            <v>BDS-03</v>
          </cell>
        </row>
        <row r="15">
          <cell r="D15" t="str">
            <v>BDS-04</v>
          </cell>
        </row>
        <row r="16">
          <cell r="D16" t="str">
            <v>BDS-05</v>
          </cell>
          <cell r="G16" t="str">
            <v>AG</v>
          </cell>
        </row>
        <row r="17">
          <cell r="G17" t="str">
            <v>WY</v>
          </cell>
        </row>
        <row r="18">
          <cell r="G18" t="str">
            <v>AI</v>
          </cell>
        </row>
        <row r="19">
          <cell r="G19" t="str">
            <v>AR</v>
          </cell>
        </row>
        <row r="20">
          <cell r="G20" t="str">
            <v>AY</v>
          </cell>
        </row>
        <row r="21">
          <cell r="G21" t="str">
            <v>AK</v>
          </cell>
        </row>
        <row r="22">
          <cell r="G22" t="str">
            <v>FA</v>
          </cell>
        </row>
        <row r="23">
          <cell r="G23" t="str">
            <v>FG</v>
          </cell>
        </row>
        <row r="24">
          <cell r="G24" t="str">
            <v>BS</v>
          </cell>
        </row>
        <row r="25">
          <cell r="G25" t="str">
            <v>AL</v>
          </cell>
        </row>
        <row r="26">
          <cell r="G26" t="str">
            <v>RI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99"/>
    <pageSetUpPr fitToPage="1"/>
  </sheetPr>
  <dimension ref="A1:AU24"/>
  <sheetViews>
    <sheetView showGridLines="0" workbookViewId="0">
      <pane ySplit="9" topLeftCell="A10" activePane="bottomLeft" state="frozen"/>
      <selection pane="bottomLeft" activeCell="AW12" sqref="AW12"/>
    </sheetView>
  </sheetViews>
  <sheetFormatPr defaultColWidth="9.140625" defaultRowHeight="12.75"/>
  <cols>
    <col min="1" max="1" width="9.42578125" style="20" customWidth="1"/>
    <col min="2" max="2" width="3.7109375" style="3" customWidth="1"/>
    <col min="3" max="3" width="3.7109375" style="40" customWidth="1"/>
    <col min="4" max="4" width="3.7109375" style="3" customWidth="1"/>
    <col min="5" max="5" width="3.7109375" style="2" customWidth="1"/>
    <col min="6" max="6" width="4" style="2" customWidth="1"/>
    <col min="7" max="7" width="7" style="32" customWidth="1"/>
    <col min="8" max="8" width="6.7109375" style="32" customWidth="1"/>
    <col min="9" max="9" width="5.140625" style="2" hidden="1" customWidth="1"/>
    <col min="10" max="10" width="5.5703125" style="2" hidden="1" customWidth="1"/>
    <col min="11" max="11" width="5.5703125" style="4" hidden="1" customWidth="1"/>
    <col min="12" max="12" width="5.5703125" style="2" hidden="1" customWidth="1"/>
    <col min="13" max="13" width="3.85546875" style="2" hidden="1" customWidth="1"/>
    <col min="14" max="14" width="3.85546875" style="15" hidden="1" customWidth="1"/>
    <col min="15" max="15" width="3.85546875" style="2" hidden="1" customWidth="1"/>
    <col min="16" max="16" width="4" style="2" customWidth="1"/>
    <col min="17" max="18" width="3.85546875" style="2" customWidth="1"/>
    <col min="19" max="21" width="3.7109375" style="2" customWidth="1"/>
    <col min="22" max="22" width="3.7109375" style="5" customWidth="1"/>
    <col min="23" max="26" width="3.7109375" style="5" hidden="1" customWidth="1"/>
    <col min="27" max="36" width="3.7109375" style="2" hidden="1" customWidth="1"/>
    <col min="37" max="38" width="3.7109375" style="2" customWidth="1"/>
    <col min="39" max="42" width="3.7109375" style="2" hidden="1" customWidth="1"/>
    <col min="43" max="43" width="3.7109375" style="2" customWidth="1"/>
    <col min="44" max="44" width="3.7109375" style="2" hidden="1" customWidth="1"/>
    <col min="45" max="45" width="4.140625" style="2" customWidth="1"/>
    <col min="46" max="46" width="10.28515625" style="24" bestFit="1" customWidth="1"/>
    <col min="47" max="47" width="11.28515625" style="2" customWidth="1"/>
    <col min="48" max="16384" width="9.140625" style="2"/>
  </cols>
  <sheetData>
    <row r="1" spans="1:47" ht="6.75" customHeight="1"/>
    <row r="2" spans="1:47">
      <c r="A2" s="221" t="s">
        <v>605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1"/>
    </row>
    <row r="3" spans="1:47">
      <c r="A3" s="222" t="s">
        <v>34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</row>
    <row r="4" spans="1:47">
      <c r="A4" s="223"/>
      <c r="B4" s="223"/>
      <c r="C4" s="6"/>
      <c r="D4" s="7"/>
      <c r="E4" s="7"/>
    </row>
    <row r="5" spans="1:47">
      <c r="A5" s="223" t="s">
        <v>33</v>
      </c>
      <c r="B5" s="223"/>
      <c r="C5" s="6" t="s">
        <v>606</v>
      </c>
      <c r="D5" s="7"/>
      <c r="E5" s="7"/>
      <c r="AP5" s="6"/>
      <c r="AQ5" s="6"/>
      <c r="AR5" s="6"/>
      <c r="AS5" s="6"/>
    </row>
    <row r="6" spans="1:47" ht="4.5" customHeight="1"/>
    <row r="7" spans="1:47" s="4" customFormat="1" ht="13.5" customHeight="1">
      <c r="A7" s="224" t="s">
        <v>0</v>
      </c>
      <c r="B7" s="225" t="s">
        <v>506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6" t="s">
        <v>63</v>
      </c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27" t="s">
        <v>35</v>
      </c>
    </row>
    <row r="8" spans="1:47" s="4" customFormat="1" ht="19.5" customHeight="1">
      <c r="A8" s="224"/>
      <c r="B8" s="218" t="s">
        <v>31</v>
      </c>
      <c r="C8" s="218" t="s">
        <v>536</v>
      </c>
      <c r="D8" s="218" t="s">
        <v>3</v>
      </c>
      <c r="E8" s="218" t="s">
        <v>4</v>
      </c>
      <c r="F8" s="218" t="s">
        <v>517</v>
      </c>
      <c r="G8" s="228" t="s">
        <v>5</v>
      </c>
      <c r="H8" s="228"/>
      <c r="I8" s="218" t="s">
        <v>6</v>
      </c>
      <c r="J8" s="218" t="s">
        <v>7</v>
      </c>
      <c r="K8" s="219" t="s">
        <v>32</v>
      </c>
      <c r="L8" s="219"/>
      <c r="M8" s="218" t="s">
        <v>8</v>
      </c>
      <c r="N8" s="229" t="s">
        <v>9</v>
      </c>
      <c r="O8" s="218" t="s">
        <v>10</v>
      </c>
      <c r="P8" s="218" t="s">
        <v>11</v>
      </c>
      <c r="Q8" s="218" t="s">
        <v>12</v>
      </c>
      <c r="R8" s="218" t="s">
        <v>324</v>
      </c>
      <c r="S8" s="219" t="s">
        <v>15</v>
      </c>
      <c r="T8" s="219"/>
      <c r="U8" s="219"/>
      <c r="V8" s="219" t="s">
        <v>16</v>
      </c>
      <c r="W8" s="219"/>
      <c r="X8" s="219"/>
      <c r="Y8" s="219"/>
      <c r="Z8" s="219"/>
      <c r="AA8" s="216" t="s">
        <v>329</v>
      </c>
      <c r="AB8" s="216"/>
      <c r="AC8" s="216"/>
      <c r="AD8" s="217" t="s">
        <v>505</v>
      </c>
      <c r="AE8" s="217"/>
      <c r="AF8" s="216" t="s">
        <v>333</v>
      </c>
      <c r="AG8" s="216"/>
      <c r="AH8" s="216"/>
      <c r="AI8" s="216"/>
      <c r="AJ8" s="218" t="s">
        <v>19</v>
      </c>
      <c r="AK8" s="218" t="s">
        <v>17</v>
      </c>
      <c r="AL8" s="218" t="s">
        <v>18</v>
      </c>
      <c r="AM8" s="218" t="s">
        <v>332</v>
      </c>
      <c r="AN8" s="218" t="s">
        <v>331</v>
      </c>
      <c r="AO8" s="218" t="s">
        <v>330</v>
      </c>
      <c r="AP8" s="218" t="s">
        <v>507</v>
      </c>
      <c r="AQ8" s="218" t="s">
        <v>13</v>
      </c>
      <c r="AR8" s="218" t="s">
        <v>14</v>
      </c>
      <c r="AS8" s="218" t="s">
        <v>320</v>
      </c>
      <c r="AT8" s="220" t="s">
        <v>553</v>
      </c>
      <c r="AU8" s="227"/>
    </row>
    <row r="9" spans="1:47" s="4" customFormat="1" ht="47.25" customHeight="1">
      <c r="A9" s="224"/>
      <c r="B9" s="218"/>
      <c r="C9" s="218"/>
      <c r="D9" s="218"/>
      <c r="E9" s="218"/>
      <c r="F9" s="218"/>
      <c r="G9" s="33" t="s">
        <v>20</v>
      </c>
      <c r="H9" s="33" t="s">
        <v>21</v>
      </c>
      <c r="I9" s="218"/>
      <c r="J9" s="218"/>
      <c r="K9" s="34" t="s">
        <v>20</v>
      </c>
      <c r="L9" s="34" t="s">
        <v>21</v>
      </c>
      <c r="M9" s="218"/>
      <c r="N9" s="229"/>
      <c r="O9" s="218"/>
      <c r="P9" s="218"/>
      <c r="Q9" s="218"/>
      <c r="R9" s="218"/>
      <c r="S9" s="19" t="s">
        <v>22</v>
      </c>
      <c r="T9" s="19" t="s">
        <v>23</v>
      </c>
      <c r="U9" s="19" t="s">
        <v>24</v>
      </c>
      <c r="V9" s="34" t="s">
        <v>25</v>
      </c>
      <c r="W9" s="34" t="s">
        <v>26</v>
      </c>
      <c r="X9" s="34" t="s">
        <v>27</v>
      </c>
      <c r="Y9" s="34" t="s">
        <v>508</v>
      </c>
      <c r="Z9" s="34" t="s">
        <v>28</v>
      </c>
      <c r="AA9" s="19" t="s">
        <v>325</v>
      </c>
      <c r="AB9" s="19" t="s">
        <v>343</v>
      </c>
      <c r="AC9" s="19" t="s">
        <v>326</v>
      </c>
      <c r="AD9" s="19" t="s">
        <v>327</v>
      </c>
      <c r="AE9" s="19" t="s">
        <v>326</v>
      </c>
      <c r="AF9" s="19" t="s">
        <v>328</v>
      </c>
      <c r="AG9" s="19" t="s">
        <v>325</v>
      </c>
      <c r="AH9" s="19" t="s">
        <v>327</v>
      </c>
      <c r="AI9" s="19" t="s">
        <v>326</v>
      </c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20"/>
      <c r="AU9" s="227"/>
    </row>
    <row r="10" spans="1:47" s="161" customFormat="1" ht="12" customHeight="1">
      <c r="A10" s="154" t="s">
        <v>611</v>
      </c>
      <c r="B10" s="155" t="s">
        <v>611</v>
      </c>
      <c r="C10" s="155" t="s">
        <v>611</v>
      </c>
      <c r="D10" s="156" t="s">
        <v>611</v>
      </c>
      <c r="E10" s="155" t="s">
        <v>611</v>
      </c>
      <c r="F10" s="154" t="s">
        <v>611</v>
      </c>
      <c r="G10" s="157" t="s">
        <v>611</v>
      </c>
      <c r="H10" s="157" t="s">
        <v>611</v>
      </c>
      <c r="I10" s="157"/>
      <c r="J10" s="158"/>
      <c r="K10" s="157"/>
      <c r="L10" s="157"/>
      <c r="M10" s="154"/>
      <c r="N10" s="159"/>
      <c r="O10" s="154"/>
      <c r="P10" s="154" t="s">
        <v>611</v>
      </c>
      <c r="Q10" s="154" t="s">
        <v>611</v>
      </c>
      <c r="R10" s="154"/>
      <c r="S10" s="154" t="s">
        <v>611</v>
      </c>
      <c r="T10" s="154" t="s">
        <v>611</v>
      </c>
      <c r="U10" s="154" t="s">
        <v>611</v>
      </c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 t="s">
        <v>611</v>
      </c>
      <c r="AL10" s="154" t="s">
        <v>611</v>
      </c>
      <c r="AM10" s="154"/>
      <c r="AN10" s="154"/>
      <c r="AO10" s="154"/>
      <c r="AP10" s="154"/>
      <c r="AQ10" s="154"/>
      <c r="AR10" s="154"/>
      <c r="AS10" s="154" t="s">
        <v>611</v>
      </c>
      <c r="AT10" s="160" t="s">
        <v>611</v>
      </c>
      <c r="AU10" s="154"/>
    </row>
    <row r="11" spans="1:47" s="22" customFormat="1" ht="12" customHeight="1">
      <c r="A11" s="66" t="s">
        <v>628</v>
      </c>
      <c r="B11" s="72" t="s">
        <v>241</v>
      </c>
      <c r="C11" s="72" t="s">
        <v>209</v>
      </c>
      <c r="D11" s="64" t="s">
        <v>217</v>
      </c>
      <c r="E11" s="72" t="s">
        <v>309</v>
      </c>
      <c r="F11" s="66" t="s">
        <v>61</v>
      </c>
      <c r="G11" s="80">
        <v>0</v>
      </c>
      <c r="H11" s="80">
        <v>3</v>
      </c>
      <c r="I11" s="80"/>
      <c r="J11" s="80"/>
      <c r="K11" s="80"/>
      <c r="L11" s="80"/>
      <c r="M11" s="66"/>
      <c r="N11" s="42"/>
      <c r="O11" s="66"/>
      <c r="P11" s="66" t="s">
        <v>622</v>
      </c>
      <c r="Q11" s="66" t="s">
        <v>108</v>
      </c>
      <c r="R11" s="66" t="s">
        <v>201</v>
      </c>
      <c r="S11" s="66" t="s">
        <v>209</v>
      </c>
      <c r="T11" s="66" t="s">
        <v>623</v>
      </c>
      <c r="U11" s="66" t="s">
        <v>224</v>
      </c>
      <c r="V11" s="66" t="s">
        <v>623</v>
      </c>
      <c r="W11" s="66" t="s">
        <v>623</v>
      </c>
      <c r="X11" s="66" t="s">
        <v>623</v>
      </c>
      <c r="Y11" s="66" t="s">
        <v>623</v>
      </c>
      <c r="Z11" s="66" t="s">
        <v>623</v>
      </c>
      <c r="AA11" s="66" t="s">
        <v>623</v>
      </c>
      <c r="AB11" s="66" t="s">
        <v>623</v>
      </c>
      <c r="AC11" s="66" t="s">
        <v>623</v>
      </c>
      <c r="AD11" s="66" t="s">
        <v>623</v>
      </c>
      <c r="AE11" s="66" t="s">
        <v>623</v>
      </c>
      <c r="AF11" s="66" t="s">
        <v>623</v>
      </c>
      <c r="AG11" s="66" t="s">
        <v>623</v>
      </c>
      <c r="AH11" s="66" t="s">
        <v>623</v>
      </c>
      <c r="AI11" s="66" t="s">
        <v>623</v>
      </c>
      <c r="AJ11" s="66" t="s">
        <v>623</v>
      </c>
      <c r="AK11" s="66" t="s">
        <v>29</v>
      </c>
      <c r="AL11" s="66" t="s">
        <v>515</v>
      </c>
      <c r="AM11" s="66"/>
      <c r="AN11" s="66"/>
      <c r="AO11" s="66"/>
      <c r="AP11" s="66"/>
      <c r="AQ11" s="66"/>
      <c r="AR11" s="66"/>
      <c r="AS11" s="66" t="s">
        <v>613</v>
      </c>
      <c r="AT11" s="56">
        <v>43924</v>
      </c>
      <c r="AU11" s="66"/>
    </row>
    <row r="12" spans="1:47" s="211" customFormat="1" ht="12" customHeight="1">
      <c r="A12" s="204"/>
      <c r="B12" s="205" t="s">
        <v>241</v>
      </c>
      <c r="C12" s="205" t="s">
        <v>209</v>
      </c>
      <c r="D12" s="64" t="s">
        <v>217</v>
      </c>
      <c r="E12" s="205" t="s">
        <v>309</v>
      </c>
      <c r="F12" s="204" t="s">
        <v>61</v>
      </c>
      <c r="G12" s="207">
        <v>3</v>
      </c>
      <c r="H12" s="207">
        <v>27.5</v>
      </c>
      <c r="I12" s="207"/>
      <c r="J12" s="207"/>
      <c r="K12" s="207"/>
      <c r="L12" s="207"/>
      <c r="M12" s="204"/>
      <c r="N12" s="208"/>
      <c r="O12" s="204"/>
      <c r="P12" s="204" t="s">
        <v>622</v>
      </c>
      <c r="Q12" s="204" t="s">
        <v>118</v>
      </c>
      <c r="R12" s="204" t="s">
        <v>623</v>
      </c>
      <c r="S12" s="204" t="s">
        <v>209</v>
      </c>
      <c r="T12" s="209" t="s">
        <v>623</v>
      </c>
      <c r="U12" s="204" t="s">
        <v>228</v>
      </c>
      <c r="V12" s="204" t="s">
        <v>203</v>
      </c>
      <c r="W12" s="204" t="s">
        <v>623</v>
      </c>
      <c r="X12" s="204" t="s">
        <v>623</v>
      </c>
      <c r="Y12" s="204" t="s">
        <v>623</v>
      </c>
      <c r="Z12" s="204" t="s">
        <v>623</v>
      </c>
      <c r="AA12" s="204" t="s">
        <v>623</v>
      </c>
      <c r="AB12" s="204" t="s">
        <v>623</v>
      </c>
      <c r="AC12" s="204" t="s">
        <v>623</v>
      </c>
      <c r="AD12" s="204" t="s">
        <v>623</v>
      </c>
      <c r="AE12" s="204" t="s">
        <v>623</v>
      </c>
      <c r="AF12" s="204" t="s">
        <v>623</v>
      </c>
      <c r="AG12" s="204" t="s">
        <v>623</v>
      </c>
      <c r="AH12" s="204" t="s">
        <v>623</v>
      </c>
      <c r="AI12" s="204" t="s">
        <v>623</v>
      </c>
      <c r="AJ12" s="204" t="s">
        <v>623</v>
      </c>
      <c r="AK12" s="204" t="s">
        <v>248</v>
      </c>
      <c r="AL12" s="204" t="s">
        <v>234</v>
      </c>
      <c r="AM12" s="204"/>
      <c r="AN12" s="204"/>
      <c r="AO12" s="204"/>
      <c r="AP12" s="204"/>
      <c r="AQ12" s="204"/>
      <c r="AR12" s="204"/>
      <c r="AS12" s="204" t="s">
        <v>613</v>
      </c>
      <c r="AT12" s="210">
        <v>43924</v>
      </c>
      <c r="AU12" s="204"/>
    </row>
    <row r="13" spans="1:47" s="211" customFormat="1" ht="12" customHeight="1">
      <c r="A13" s="204"/>
      <c r="B13" s="205" t="s">
        <v>241</v>
      </c>
      <c r="C13" s="205" t="s">
        <v>209</v>
      </c>
      <c r="D13" s="64" t="s">
        <v>217</v>
      </c>
      <c r="E13" s="205" t="s">
        <v>309</v>
      </c>
      <c r="F13" s="204" t="s">
        <v>61</v>
      </c>
      <c r="G13" s="207">
        <v>27.5</v>
      </c>
      <c r="H13" s="207">
        <v>29</v>
      </c>
      <c r="I13" s="207"/>
      <c r="J13" s="207"/>
      <c r="K13" s="207"/>
      <c r="L13" s="207"/>
      <c r="M13" s="204"/>
      <c r="N13" s="208"/>
      <c r="O13" s="204"/>
      <c r="P13" s="204" t="s">
        <v>622</v>
      </c>
      <c r="Q13" s="204" t="s">
        <v>83</v>
      </c>
      <c r="R13" s="204" t="s">
        <v>623</v>
      </c>
      <c r="S13" s="204" t="s">
        <v>623</v>
      </c>
      <c r="T13" s="204" t="s">
        <v>623</v>
      </c>
      <c r="U13" s="204" t="s">
        <v>356</v>
      </c>
      <c r="V13" s="204" t="s">
        <v>623</v>
      </c>
      <c r="W13" s="204" t="s">
        <v>623</v>
      </c>
      <c r="X13" s="204" t="s">
        <v>623</v>
      </c>
      <c r="Y13" s="204" t="s">
        <v>623</v>
      </c>
      <c r="Z13" s="204" t="s">
        <v>623</v>
      </c>
      <c r="AA13" s="204" t="s">
        <v>623</v>
      </c>
      <c r="AB13" s="204" t="s">
        <v>623</v>
      </c>
      <c r="AC13" s="204" t="s">
        <v>623</v>
      </c>
      <c r="AD13" s="204" t="s">
        <v>623</v>
      </c>
      <c r="AE13" s="204" t="s">
        <v>623</v>
      </c>
      <c r="AF13" s="204" t="s">
        <v>623</v>
      </c>
      <c r="AG13" s="204" t="s">
        <v>623</v>
      </c>
      <c r="AH13" s="204" t="s">
        <v>623</v>
      </c>
      <c r="AI13" s="204" t="s">
        <v>623</v>
      </c>
      <c r="AJ13" s="204" t="s">
        <v>623</v>
      </c>
      <c r="AK13" s="204" t="s">
        <v>250</v>
      </c>
      <c r="AL13" s="204" t="s">
        <v>234</v>
      </c>
      <c r="AM13" s="204"/>
      <c r="AN13" s="204"/>
      <c r="AO13" s="204"/>
      <c r="AP13" s="204"/>
      <c r="AQ13" s="204" t="s">
        <v>616</v>
      </c>
      <c r="AR13" s="204"/>
      <c r="AS13" s="204" t="s">
        <v>613</v>
      </c>
      <c r="AT13" s="210">
        <v>43924</v>
      </c>
      <c r="AU13" s="204"/>
    </row>
    <row r="14" spans="1:47" s="211" customFormat="1" ht="12" customHeight="1">
      <c r="A14" s="204"/>
      <c r="B14" s="205" t="s">
        <v>241</v>
      </c>
      <c r="C14" s="205" t="s">
        <v>209</v>
      </c>
      <c r="D14" s="64" t="s">
        <v>217</v>
      </c>
      <c r="E14" s="205" t="s">
        <v>309</v>
      </c>
      <c r="F14" s="204" t="s">
        <v>61</v>
      </c>
      <c r="G14" s="207">
        <v>29</v>
      </c>
      <c r="H14" s="207">
        <v>41</v>
      </c>
      <c r="I14" s="207"/>
      <c r="J14" s="204"/>
      <c r="K14" s="208"/>
      <c r="L14" s="204"/>
      <c r="M14" s="204"/>
      <c r="N14" s="208"/>
      <c r="O14" s="204"/>
      <c r="P14" s="204" t="s">
        <v>622</v>
      </c>
      <c r="Q14" s="204" t="s">
        <v>81</v>
      </c>
      <c r="R14" s="204" t="s">
        <v>623</v>
      </c>
      <c r="S14" s="204" t="s">
        <v>623</v>
      </c>
      <c r="T14" s="204" t="s">
        <v>623</v>
      </c>
      <c r="U14" s="204" t="s">
        <v>228</v>
      </c>
      <c r="V14" s="204" t="s">
        <v>623</v>
      </c>
      <c r="W14" s="204" t="s">
        <v>623</v>
      </c>
      <c r="X14" s="204" t="s">
        <v>623</v>
      </c>
      <c r="Y14" s="204" t="s">
        <v>623</v>
      </c>
      <c r="Z14" s="204" t="s">
        <v>623</v>
      </c>
      <c r="AA14" s="204" t="s">
        <v>623</v>
      </c>
      <c r="AB14" s="204" t="s">
        <v>623</v>
      </c>
      <c r="AC14" s="204" t="s">
        <v>623</v>
      </c>
      <c r="AD14" s="204" t="s">
        <v>623</v>
      </c>
      <c r="AE14" s="204" t="s">
        <v>623</v>
      </c>
      <c r="AF14" s="204" t="s">
        <v>623</v>
      </c>
      <c r="AG14" s="204" t="s">
        <v>623</v>
      </c>
      <c r="AH14" s="204" t="s">
        <v>623</v>
      </c>
      <c r="AI14" s="204" t="s">
        <v>623</v>
      </c>
      <c r="AJ14" s="204" t="s">
        <v>623</v>
      </c>
      <c r="AK14" s="204" t="s">
        <v>250</v>
      </c>
      <c r="AL14" s="204" t="s">
        <v>234</v>
      </c>
      <c r="AM14" s="204"/>
      <c r="AN14" s="204"/>
      <c r="AO14" s="204"/>
      <c r="AP14" s="204"/>
      <c r="AQ14" s="204"/>
      <c r="AR14" s="163"/>
      <c r="AS14" s="204" t="s">
        <v>613</v>
      </c>
      <c r="AT14" s="210">
        <v>43925</v>
      </c>
      <c r="AU14" s="204"/>
    </row>
    <row r="15" spans="1:47" s="211" customFormat="1" ht="12" customHeight="1">
      <c r="A15" s="204"/>
      <c r="B15" s="205" t="s">
        <v>241</v>
      </c>
      <c r="C15" s="205" t="s">
        <v>209</v>
      </c>
      <c r="D15" s="64" t="s">
        <v>217</v>
      </c>
      <c r="E15" s="205" t="s">
        <v>309</v>
      </c>
      <c r="F15" s="204" t="s">
        <v>61</v>
      </c>
      <c r="G15" s="207">
        <v>41</v>
      </c>
      <c r="H15" s="207">
        <v>42</v>
      </c>
      <c r="I15" s="207"/>
      <c r="J15" s="204"/>
      <c r="K15" s="208"/>
      <c r="L15" s="204"/>
      <c r="M15" s="204"/>
      <c r="N15" s="208"/>
      <c r="O15" s="204"/>
      <c r="P15" s="204" t="s">
        <v>622</v>
      </c>
      <c r="Q15" s="204" t="s">
        <v>73</v>
      </c>
      <c r="R15" s="204" t="s">
        <v>62</v>
      </c>
      <c r="S15" s="204" t="s">
        <v>346</v>
      </c>
      <c r="T15" s="204" t="s">
        <v>623</v>
      </c>
      <c r="U15" s="204" t="s">
        <v>224</v>
      </c>
      <c r="V15" s="204" t="s">
        <v>623</v>
      </c>
      <c r="W15" s="204" t="s">
        <v>623</v>
      </c>
      <c r="X15" s="204" t="s">
        <v>623</v>
      </c>
      <c r="Y15" s="204" t="s">
        <v>623</v>
      </c>
      <c r="Z15" s="204" t="s">
        <v>623</v>
      </c>
      <c r="AA15" s="204" t="s">
        <v>623</v>
      </c>
      <c r="AB15" s="204" t="s">
        <v>623</v>
      </c>
      <c r="AC15" s="204" t="s">
        <v>623</v>
      </c>
      <c r="AD15" s="204" t="s">
        <v>623</v>
      </c>
      <c r="AE15" s="204" t="s">
        <v>623</v>
      </c>
      <c r="AF15" s="204" t="s">
        <v>623</v>
      </c>
      <c r="AG15" s="204" t="s">
        <v>623</v>
      </c>
      <c r="AH15" s="204" t="s">
        <v>623</v>
      </c>
      <c r="AI15" s="204" t="s">
        <v>623</v>
      </c>
      <c r="AJ15" s="204" t="s">
        <v>623</v>
      </c>
      <c r="AK15" s="204" t="s">
        <v>250</v>
      </c>
      <c r="AL15" s="204" t="s">
        <v>234</v>
      </c>
      <c r="AM15" s="204"/>
      <c r="AN15" s="204"/>
      <c r="AO15" s="204"/>
      <c r="AP15" s="204"/>
      <c r="AQ15" s="204"/>
      <c r="AR15" s="204"/>
      <c r="AS15" s="204" t="s">
        <v>613</v>
      </c>
      <c r="AT15" s="210">
        <v>43925</v>
      </c>
      <c r="AU15" s="204"/>
    </row>
    <row r="16" spans="1:47" s="211" customFormat="1" ht="12" customHeight="1">
      <c r="A16" s="204"/>
      <c r="B16" s="205" t="s">
        <v>241</v>
      </c>
      <c r="C16" s="205" t="s">
        <v>209</v>
      </c>
      <c r="D16" s="64" t="s">
        <v>217</v>
      </c>
      <c r="E16" s="205" t="s">
        <v>309</v>
      </c>
      <c r="F16" s="204" t="s">
        <v>61</v>
      </c>
      <c r="G16" s="207">
        <v>42</v>
      </c>
      <c r="H16" s="207">
        <v>43</v>
      </c>
      <c r="I16" s="207"/>
      <c r="J16" s="204"/>
      <c r="K16" s="208"/>
      <c r="L16" s="204"/>
      <c r="M16" s="204"/>
      <c r="N16" s="208"/>
      <c r="O16" s="204"/>
      <c r="P16" s="204" t="s">
        <v>622</v>
      </c>
      <c r="Q16" s="204" t="s">
        <v>83</v>
      </c>
      <c r="R16" s="204" t="s">
        <v>623</v>
      </c>
      <c r="S16" s="204" t="s">
        <v>623</v>
      </c>
      <c r="T16" s="204" t="s">
        <v>623</v>
      </c>
      <c r="U16" s="204" t="s">
        <v>356</v>
      </c>
      <c r="V16" s="204" t="s">
        <v>623</v>
      </c>
      <c r="W16" s="204" t="s">
        <v>623</v>
      </c>
      <c r="X16" s="204" t="s">
        <v>623</v>
      </c>
      <c r="Y16" s="204" t="s">
        <v>623</v>
      </c>
      <c r="Z16" s="204" t="s">
        <v>623</v>
      </c>
      <c r="AA16" s="204" t="s">
        <v>623</v>
      </c>
      <c r="AB16" s="204" t="s">
        <v>623</v>
      </c>
      <c r="AC16" s="204" t="s">
        <v>623</v>
      </c>
      <c r="AD16" s="204" t="s">
        <v>623</v>
      </c>
      <c r="AE16" s="204" t="s">
        <v>623</v>
      </c>
      <c r="AF16" s="204" t="s">
        <v>623</v>
      </c>
      <c r="AG16" s="204" t="s">
        <v>623</v>
      </c>
      <c r="AH16" s="204" t="s">
        <v>623</v>
      </c>
      <c r="AI16" s="204" t="s">
        <v>623</v>
      </c>
      <c r="AJ16" s="204" t="s">
        <v>623</v>
      </c>
      <c r="AK16" s="204" t="s">
        <v>250</v>
      </c>
      <c r="AL16" s="204" t="s">
        <v>234</v>
      </c>
      <c r="AM16" s="204"/>
      <c r="AN16" s="204"/>
      <c r="AO16" s="204"/>
      <c r="AP16" s="204"/>
      <c r="AQ16" s="204" t="s">
        <v>618</v>
      </c>
      <c r="AR16" s="204"/>
      <c r="AS16" s="204" t="s">
        <v>613</v>
      </c>
      <c r="AT16" s="210">
        <v>43925</v>
      </c>
      <c r="AU16" s="204"/>
    </row>
    <row r="17" spans="1:47" s="211" customFormat="1" ht="12" customHeight="1">
      <c r="A17" s="204"/>
      <c r="B17" s="205" t="s">
        <v>241</v>
      </c>
      <c r="C17" s="205" t="s">
        <v>209</v>
      </c>
      <c r="D17" s="64" t="s">
        <v>217</v>
      </c>
      <c r="E17" s="205" t="s">
        <v>309</v>
      </c>
      <c r="F17" s="204" t="s">
        <v>61</v>
      </c>
      <c r="G17" s="207">
        <v>43</v>
      </c>
      <c r="H17" s="207">
        <v>59</v>
      </c>
      <c r="I17" s="207"/>
      <c r="J17" s="204"/>
      <c r="K17" s="208"/>
      <c r="L17" s="204"/>
      <c r="M17" s="204"/>
      <c r="N17" s="208"/>
      <c r="O17" s="204"/>
      <c r="P17" s="204" t="s">
        <v>622</v>
      </c>
      <c r="Q17" s="204" t="s">
        <v>81</v>
      </c>
      <c r="R17" s="204" t="s">
        <v>623</v>
      </c>
      <c r="S17" s="204" t="s">
        <v>623</v>
      </c>
      <c r="T17" s="204" t="s">
        <v>623</v>
      </c>
      <c r="U17" s="204" t="s">
        <v>228</v>
      </c>
      <c r="V17" s="204" t="s">
        <v>623</v>
      </c>
      <c r="W17" s="204" t="s">
        <v>623</v>
      </c>
      <c r="X17" s="204" t="s">
        <v>623</v>
      </c>
      <c r="Y17" s="204" t="s">
        <v>623</v>
      </c>
      <c r="Z17" s="204" t="s">
        <v>623</v>
      </c>
      <c r="AA17" s="204" t="s">
        <v>623</v>
      </c>
      <c r="AB17" s="204" t="s">
        <v>623</v>
      </c>
      <c r="AC17" s="204" t="s">
        <v>623</v>
      </c>
      <c r="AD17" s="204" t="s">
        <v>623</v>
      </c>
      <c r="AE17" s="204" t="s">
        <v>623</v>
      </c>
      <c r="AF17" s="204" t="s">
        <v>623</v>
      </c>
      <c r="AG17" s="204" t="s">
        <v>623</v>
      </c>
      <c r="AH17" s="204" t="s">
        <v>623</v>
      </c>
      <c r="AI17" s="204" t="s">
        <v>623</v>
      </c>
      <c r="AJ17" s="204" t="s">
        <v>623</v>
      </c>
      <c r="AK17" s="204" t="s">
        <v>250</v>
      </c>
      <c r="AL17" s="204" t="s">
        <v>234</v>
      </c>
      <c r="AM17" s="204"/>
      <c r="AN17" s="204"/>
      <c r="AO17" s="204"/>
      <c r="AP17" s="204"/>
      <c r="AQ17" s="204"/>
      <c r="AR17" s="204"/>
      <c r="AS17" s="204" t="s">
        <v>613</v>
      </c>
      <c r="AT17" s="210">
        <v>43925</v>
      </c>
      <c r="AU17" s="204"/>
    </row>
    <row r="18" spans="1:47" s="211" customFormat="1" ht="12" customHeight="1">
      <c r="A18" s="204"/>
      <c r="B18" s="205" t="s">
        <v>241</v>
      </c>
      <c r="C18" s="205" t="s">
        <v>209</v>
      </c>
      <c r="D18" s="64" t="s">
        <v>217</v>
      </c>
      <c r="E18" s="205" t="s">
        <v>309</v>
      </c>
      <c r="F18" s="204" t="s">
        <v>61</v>
      </c>
      <c r="G18" s="207">
        <v>59</v>
      </c>
      <c r="H18" s="207">
        <v>62</v>
      </c>
      <c r="I18" s="207"/>
      <c r="J18" s="204"/>
      <c r="K18" s="208"/>
      <c r="L18" s="204"/>
      <c r="M18" s="204"/>
      <c r="N18" s="208"/>
      <c r="O18" s="204"/>
      <c r="P18" s="204" t="s">
        <v>622</v>
      </c>
      <c r="Q18" s="204" t="s">
        <v>83</v>
      </c>
      <c r="R18" s="204" t="s">
        <v>623</v>
      </c>
      <c r="S18" s="204" t="s">
        <v>623</v>
      </c>
      <c r="T18" s="204" t="s">
        <v>623</v>
      </c>
      <c r="U18" s="204" t="s">
        <v>356</v>
      </c>
      <c r="V18" s="204" t="s">
        <v>623</v>
      </c>
      <c r="W18" s="204" t="s">
        <v>623</v>
      </c>
      <c r="X18" s="204" t="s">
        <v>623</v>
      </c>
      <c r="Y18" s="204" t="s">
        <v>623</v>
      </c>
      <c r="Z18" s="204" t="s">
        <v>623</v>
      </c>
      <c r="AA18" s="204" t="s">
        <v>623</v>
      </c>
      <c r="AB18" s="204" t="s">
        <v>623</v>
      </c>
      <c r="AC18" s="204" t="s">
        <v>623</v>
      </c>
      <c r="AD18" s="204" t="s">
        <v>623</v>
      </c>
      <c r="AE18" s="204" t="s">
        <v>623</v>
      </c>
      <c r="AF18" s="204" t="s">
        <v>623</v>
      </c>
      <c r="AG18" s="204" t="s">
        <v>623</v>
      </c>
      <c r="AH18" s="204" t="s">
        <v>623</v>
      </c>
      <c r="AI18" s="204" t="s">
        <v>623</v>
      </c>
      <c r="AJ18" s="204" t="s">
        <v>623</v>
      </c>
      <c r="AK18" s="204" t="s">
        <v>250</v>
      </c>
      <c r="AL18" s="204" t="s">
        <v>234</v>
      </c>
      <c r="AM18" s="212"/>
      <c r="AN18" s="204"/>
      <c r="AO18" s="204"/>
      <c r="AP18" s="204"/>
      <c r="AQ18" s="213" t="s">
        <v>619</v>
      </c>
      <c r="AR18" s="204"/>
      <c r="AS18" s="204" t="s">
        <v>613</v>
      </c>
      <c r="AT18" s="210">
        <v>43925</v>
      </c>
      <c r="AU18" s="204"/>
    </row>
    <row r="19" spans="1:47" s="211" customFormat="1" ht="12" customHeight="1">
      <c r="A19" s="204"/>
      <c r="B19" s="205" t="s">
        <v>241</v>
      </c>
      <c r="C19" s="205" t="s">
        <v>209</v>
      </c>
      <c r="D19" s="64" t="s">
        <v>217</v>
      </c>
      <c r="E19" s="205" t="s">
        <v>309</v>
      </c>
      <c r="F19" s="204" t="s">
        <v>61</v>
      </c>
      <c r="G19" s="207">
        <v>62</v>
      </c>
      <c r="H19" s="207">
        <v>80</v>
      </c>
      <c r="I19" s="207"/>
      <c r="J19" s="214"/>
      <c r="K19" s="208"/>
      <c r="L19" s="204"/>
      <c r="M19" s="204"/>
      <c r="N19" s="208"/>
      <c r="O19" s="204"/>
      <c r="P19" s="204" t="s">
        <v>622</v>
      </c>
      <c r="Q19" s="204" t="s">
        <v>81</v>
      </c>
      <c r="R19" s="215" t="s">
        <v>623</v>
      </c>
      <c r="S19" s="204" t="s">
        <v>623</v>
      </c>
      <c r="T19" s="204" t="s">
        <v>623</v>
      </c>
      <c r="U19" s="204" t="s">
        <v>228</v>
      </c>
      <c r="V19" s="204" t="s">
        <v>623</v>
      </c>
      <c r="W19" s="204" t="s">
        <v>623</v>
      </c>
      <c r="X19" s="204" t="s">
        <v>623</v>
      </c>
      <c r="Y19" s="204" t="s">
        <v>623</v>
      </c>
      <c r="Z19" s="204" t="s">
        <v>623</v>
      </c>
      <c r="AA19" s="204" t="s">
        <v>623</v>
      </c>
      <c r="AB19" s="204" t="s">
        <v>623</v>
      </c>
      <c r="AC19" s="204" t="s">
        <v>623</v>
      </c>
      <c r="AD19" s="204" t="s">
        <v>623</v>
      </c>
      <c r="AE19" s="204" t="s">
        <v>623</v>
      </c>
      <c r="AF19" s="204" t="s">
        <v>623</v>
      </c>
      <c r="AG19" s="204" t="s">
        <v>623</v>
      </c>
      <c r="AH19" s="204" t="s">
        <v>623</v>
      </c>
      <c r="AI19" s="204" t="s">
        <v>623</v>
      </c>
      <c r="AJ19" s="204" t="s">
        <v>623</v>
      </c>
      <c r="AK19" s="204" t="s">
        <v>250</v>
      </c>
      <c r="AL19" s="204" t="s">
        <v>234</v>
      </c>
      <c r="AM19" s="215"/>
      <c r="AN19" s="204"/>
      <c r="AO19" s="204"/>
      <c r="AP19" s="204"/>
      <c r="AQ19" s="204"/>
      <c r="AR19" s="204"/>
      <c r="AS19" s="204" t="s">
        <v>613</v>
      </c>
      <c r="AT19" s="210">
        <v>43926</v>
      </c>
      <c r="AU19" s="204"/>
    </row>
    <row r="20" spans="1:47" s="211" customFormat="1" ht="12" customHeight="1">
      <c r="A20" s="204"/>
      <c r="B20" s="205" t="s">
        <v>241</v>
      </c>
      <c r="C20" s="205" t="s">
        <v>209</v>
      </c>
      <c r="D20" s="64" t="s">
        <v>217</v>
      </c>
      <c r="E20" s="205" t="s">
        <v>309</v>
      </c>
      <c r="F20" s="204" t="s">
        <v>61</v>
      </c>
      <c r="G20" s="207">
        <v>80</v>
      </c>
      <c r="H20" s="207">
        <v>81</v>
      </c>
      <c r="I20" s="207"/>
      <c r="J20" s="214"/>
      <c r="K20" s="208"/>
      <c r="L20" s="204"/>
      <c r="M20" s="204"/>
      <c r="N20" s="208"/>
      <c r="O20" s="204"/>
      <c r="P20" s="204" t="s">
        <v>622</v>
      </c>
      <c r="Q20" s="204" t="s">
        <v>83</v>
      </c>
      <c r="R20" s="215" t="s">
        <v>623</v>
      </c>
      <c r="S20" s="204" t="s">
        <v>623</v>
      </c>
      <c r="T20" s="204" t="s">
        <v>623</v>
      </c>
      <c r="U20" s="204" t="s">
        <v>356</v>
      </c>
      <c r="V20" s="206" t="s">
        <v>623</v>
      </c>
      <c r="W20" s="206" t="s">
        <v>623</v>
      </c>
      <c r="X20" s="206" t="s">
        <v>623</v>
      </c>
      <c r="Y20" s="206" t="s">
        <v>623</v>
      </c>
      <c r="Z20" s="206" t="s">
        <v>623</v>
      </c>
      <c r="AA20" s="212" t="s">
        <v>623</v>
      </c>
      <c r="AB20" s="212" t="s">
        <v>623</v>
      </c>
      <c r="AC20" s="212" t="s">
        <v>623</v>
      </c>
      <c r="AD20" s="204" t="s">
        <v>623</v>
      </c>
      <c r="AE20" s="212" t="s">
        <v>623</v>
      </c>
      <c r="AF20" s="212" t="s">
        <v>623</v>
      </c>
      <c r="AG20" s="212" t="s">
        <v>623</v>
      </c>
      <c r="AH20" s="212" t="s">
        <v>623</v>
      </c>
      <c r="AI20" s="212" t="s">
        <v>623</v>
      </c>
      <c r="AJ20" s="204" t="s">
        <v>623</v>
      </c>
      <c r="AK20" s="204" t="s">
        <v>250</v>
      </c>
      <c r="AL20" s="204" t="s">
        <v>234</v>
      </c>
      <c r="AM20" s="215"/>
      <c r="AN20" s="204"/>
      <c r="AO20" s="204"/>
      <c r="AP20" s="204"/>
      <c r="AQ20" s="204" t="s">
        <v>620</v>
      </c>
      <c r="AR20" s="204"/>
      <c r="AS20" s="204" t="s">
        <v>613</v>
      </c>
      <c r="AT20" s="210">
        <v>43927</v>
      </c>
      <c r="AU20" s="204"/>
    </row>
    <row r="21" spans="1:47" s="211" customFormat="1" ht="12" customHeight="1">
      <c r="A21" s="204"/>
      <c r="B21" s="205" t="s">
        <v>241</v>
      </c>
      <c r="C21" s="205" t="s">
        <v>209</v>
      </c>
      <c r="D21" s="64" t="s">
        <v>217</v>
      </c>
      <c r="E21" s="205" t="s">
        <v>309</v>
      </c>
      <c r="F21" s="204" t="s">
        <v>61</v>
      </c>
      <c r="G21" s="207">
        <v>81</v>
      </c>
      <c r="H21" s="207">
        <v>86</v>
      </c>
      <c r="I21" s="207"/>
      <c r="J21" s="214"/>
      <c r="K21" s="208"/>
      <c r="L21" s="204"/>
      <c r="M21" s="204"/>
      <c r="N21" s="208"/>
      <c r="O21" s="204"/>
      <c r="P21" s="204" t="s">
        <v>622</v>
      </c>
      <c r="Q21" s="204" t="s">
        <v>81</v>
      </c>
      <c r="R21" s="204" t="s">
        <v>623</v>
      </c>
      <c r="S21" s="204" t="s">
        <v>623</v>
      </c>
      <c r="T21" s="204" t="s">
        <v>623</v>
      </c>
      <c r="U21" s="204" t="s">
        <v>228</v>
      </c>
      <c r="V21" s="215" t="s">
        <v>623</v>
      </c>
      <c r="W21" s="215" t="s">
        <v>623</v>
      </c>
      <c r="X21" s="215" t="s">
        <v>623</v>
      </c>
      <c r="Y21" s="215" t="s">
        <v>623</v>
      </c>
      <c r="Z21" s="215" t="s">
        <v>623</v>
      </c>
      <c r="AA21" s="215" t="s">
        <v>623</v>
      </c>
      <c r="AB21" s="215" t="s">
        <v>623</v>
      </c>
      <c r="AC21" s="215" t="s">
        <v>623</v>
      </c>
      <c r="AD21" s="215" t="s">
        <v>623</v>
      </c>
      <c r="AE21" s="215" t="s">
        <v>623</v>
      </c>
      <c r="AF21" s="215" t="s">
        <v>623</v>
      </c>
      <c r="AG21" s="215" t="s">
        <v>623</v>
      </c>
      <c r="AH21" s="215" t="s">
        <v>623</v>
      </c>
      <c r="AI21" s="215" t="s">
        <v>623</v>
      </c>
      <c r="AJ21" s="215" t="s">
        <v>623</v>
      </c>
      <c r="AK21" s="204" t="s">
        <v>250</v>
      </c>
      <c r="AL21" s="204" t="s">
        <v>234</v>
      </c>
      <c r="AM21" s="215"/>
      <c r="AN21" s="204"/>
      <c r="AO21" s="204"/>
      <c r="AP21" s="204"/>
      <c r="AQ21" s="204"/>
      <c r="AR21" s="204"/>
      <c r="AS21" s="204" t="s">
        <v>613</v>
      </c>
      <c r="AT21" s="210">
        <v>43927</v>
      </c>
      <c r="AU21" s="204"/>
    </row>
    <row r="22" spans="1:47" s="211" customFormat="1" ht="12" customHeight="1">
      <c r="A22" s="204"/>
      <c r="B22" s="205" t="s">
        <v>241</v>
      </c>
      <c r="C22" s="205" t="s">
        <v>209</v>
      </c>
      <c r="D22" s="64" t="s">
        <v>217</v>
      </c>
      <c r="E22" s="205" t="s">
        <v>309</v>
      </c>
      <c r="F22" s="204" t="s">
        <v>61</v>
      </c>
      <c r="G22" s="207">
        <v>86</v>
      </c>
      <c r="H22" s="207">
        <v>88</v>
      </c>
      <c r="I22" s="207"/>
      <c r="J22" s="214"/>
      <c r="K22" s="208"/>
      <c r="L22" s="204"/>
      <c r="M22" s="204"/>
      <c r="N22" s="208"/>
      <c r="O22" s="204"/>
      <c r="P22" s="204" t="s">
        <v>622</v>
      </c>
      <c r="Q22" s="204" t="s">
        <v>83</v>
      </c>
      <c r="R22" s="204" t="s">
        <v>623</v>
      </c>
      <c r="S22" s="204" t="s">
        <v>623</v>
      </c>
      <c r="T22" s="204" t="s">
        <v>623</v>
      </c>
      <c r="U22" s="204" t="s">
        <v>356</v>
      </c>
      <c r="V22" s="215" t="s">
        <v>623</v>
      </c>
      <c r="W22" s="215" t="s">
        <v>623</v>
      </c>
      <c r="X22" s="215" t="s">
        <v>623</v>
      </c>
      <c r="Y22" s="215" t="s">
        <v>623</v>
      </c>
      <c r="Z22" s="215" t="s">
        <v>623</v>
      </c>
      <c r="AA22" s="215" t="s">
        <v>623</v>
      </c>
      <c r="AB22" s="215" t="s">
        <v>623</v>
      </c>
      <c r="AC22" s="215" t="s">
        <v>623</v>
      </c>
      <c r="AD22" s="215" t="s">
        <v>623</v>
      </c>
      <c r="AE22" s="215" t="s">
        <v>623</v>
      </c>
      <c r="AF22" s="215" t="s">
        <v>623</v>
      </c>
      <c r="AG22" s="215" t="s">
        <v>623</v>
      </c>
      <c r="AH22" s="215" t="s">
        <v>623</v>
      </c>
      <c r="AI22" s="215" t="s">
        <v>623</v>
      </c>
      <c r="AJ22" s="215" t="s">
        <v>623</v>
      </c>
      <c r="AK22" s="204" t="s">
        <v>250</v>
      </c>
      <c r="AL22" s="204" t="s">
        <v>234</v>
      </c>
      <c r="AM22" s="215"/>
      <c r="AN22" s="204"/>
      <c r="AO22" s="204"/>
      <c r="AP22" s="204"/>
      <c r="AQ22" s="204" t="s">
        <v>621</v>
      </c>
      <c r="AR22" s="204"/>
      <c r="AS22" s="204" t="s">
        <v>613</v>
      </c>
      <c r="AT22" s="210">
        <v>43927</v>
      </c>
      <c r="AU22" s="204"/>
    </row>
    <row r="23" spans="1:47" s="22" customFormat="1" ht="12" customHeight="1">
      <c r="A23" s="66"/>
      <c r="B23" s="72" t="s">
        <v>241</v>
      </c>
      <c r="C23" s="72" t="s">
        <v>209</v>
      </c>
      <c r="D23" s="64" t="s">
        <v>217</v>
      </c>
      <c r="E23" s="72" t="s">
        <v>309</v>
      </c>
      <c r="F23" s="66" t="s">
        <v>61</v>
      </c>
      <c r="G23" s="207">
        <v>88</v>
      </c>
      <c r="H23" s="80">
        <v>100</v>
      </c>
      <c r="I23" s="80"/>
      <c r="J23" s="76"/>
      <c r="K23" s="42"/>
      <c r="L23" s="66"/>
      <c r="M23" s="66"/>
      <c r="N23" s="42"/>
      <c r="O23" s="66"/>
      <c r="P23" s="66" t="s">
        <v>622</v>
      </c>
      <c r="Q23" s="66" t="s">
        <v>81</v>
      </c>
      <c r="R23" s="66" t="s">
        <v>623</v>
      </c>
      <c r="S23" s="66" t="s">
        <v>623</v>
      </c>
      <c r="T23" s="66" t="s">
        <v>623</v>
      </c>
      <c r="U23" s="66" t="s">
        <v>228</v>
      </c>
      <c r="V23" s="74" t="s">
        <v>623</v>
      </c>
      <c r="W23" s="74" t="s">
        <v>623</v>
      </c>
      <c r="X23" s="74" t="s">
        <v>623</v>
      </c>
      <c r="Y23" s="74" t="s">
        <v>623</v>
      </c>
      <c r="Z23" s="74" t="s">
        <v>623</v>
      </c>
      <c r="AA23" s="74" t="s">
        <v>623</v>
      </c>
      <c r="AB23" s="74" t="s">
        <v>623</v>
      </c>
      <c r="AC23" s="74" t="s">
        <v>623</v>
      </c>
      <c r="AD23" s="74" t="s">
        <v>623</v>
      </c>
      <c r="AE23" s="74" t="s">
        <v>623</v>
      </c>
      <c r="AF23" s="74" t="s">
        <v>623</v>
      </c>
      <c r="AG23" s="74" t="s">
        <v>623</v>
      </c>
      <c r="AH23" s="74" t="s">
        <v>623</v>
      </c>
      <c r="AI23" s="74" t="s">
        <v>623</v>
      </c>
      <c r="AJ23" s="74" t="s">
        <v>623</v>
      </c>
      <c r="AK23" s="66" t="s">
        <v>250</v>
      </c>
      <c r="AL23" s="66" t="s">
        <v>234</v>
      </c>
      <c r="AM23" s="74"/>
      <c r="AN23" s="66"/>
      <c r="AO23" s="66"/>
      <c r="AP23" s="66"/>
      <c r="AQ23" s="66"/>
      <c r="AR23" s="66"/>
      <c r="AS23" s="66" t="s">
        <v>613</v>
      </c>
      <c r="AT23" s="56">
        <v>43927</v>
      </c>
      <c r="AU23" s="66"/>
    </row>
    <row r="24" spans="1:47" s="77" customFormat="1" ht="12" customHeight="1">
      <c r="A24" s="66"/>
      <c r="B24" s="72"/>
      <c r="C24" s="72"/>
      <c r="D24" s="72"/>
      <c r="E24" s="72"/>
      <c r="F24" s="66"/>
      <c r="G24" s="80"/>
      <c r="H24" s="80"/>
      <c r="I24" s="80"/>
      <c r="J24" s="66"/>
      <c r="K24" s="42"/>
      <c r="L24" s="66"/>
      <c r="M24" s="66"/>
      <c r="N24" s="42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66"/>
      <c r="AL24" s="66"/>
      <c r="AM24" s="74"/>
      <c r="AN24" s="66"/>
      <c r="AO24" s="66"/>
      <c r="AP24" s="66"/>
      <c r="AQ24" s="66"/>
      <c r="AR24" s="66"/>
      <c r="AS24" s="66"/>
      <c r="AT24" s="56"/>
      <c r="AU24" s="66"/>
    </row>
  </sheetData>
  <mergeCells count="39">
    <mergeCell ref="C8:C9"/>
    <mergeCell ref="K8:L8"/>
    <mergeCell ref="M8:M9"/>
    <mergeCell ref="N8:N9"/>
    <mergeCell ref="O8:O9"/>
    <mergeCell ref="A2:AU2"/>
    <mergeCell ref="A3:AU3"/>
    <mergeCell ref="A4:B4"/>
    <mergeCell ref="A5:B5"/>
    <mergeCell ref="A7:A9"/>
    <mergeCell ref="B7:P7"/>
    <mergeCell ref="Q7:AT7"/>
    <mergeCell ref="AU7:AU9"/>
    <mergeCell ref="B8:B9"/>
    <mergeCell ref="D8:D9"/>
    <mergeCell ref="E8:E9"/>
    <mergeCell ref="F8:F9"/>
    <mergeCell ref="G8:H8"/>
    <mergeCell ref="I8:I9"/>
    <mergeCell ref="J8:J9"/>
    <mergeCell ref="AJ8:AJ9"/>
    <mergeCell ref="AS8:AS9"/>
    <mergeCell ref="AT8:AT9"/>
    <mergeCell ref="AK8:AK9"/>
    <mergeCell ref="AL8:AL9"/>
    <mergeCell ref="AM8:AM9"/>
    <mergeCell ref="AN8:AN9"/>
    <mergeCell ref="AO8:AO9"/>
    <mergeCell ref="AP8:AP9"/>
    <mergeCell ref="AQ8:AQ9"/>
    <mergeCell ref="AR8:AR9"/>
    <mergeCell ref="AA8:AC8"/>
    <mergeCell ref="AD8:AE8"/>
    <mergeCell ref="AF8:AI8"/>
    <mergeCell ref="P8:P9"/>
    <mergeCell ref="Q8:Q9"/>
    <mergeCell ref="R8:R9"/>
    <mergeCell ref="S8:U8"/>
    <mergeCell ref="V8:Z8"/>
  </mergeCells>
  <printOptions horizontalCentered="1"/>
  <pageMargins left="0.45" right="0.45" top="0.5" bottom="0.5" header="0.3" footer="0.3"/>
  <pageSetup paperSize="9" scale="64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6FF99"/>
  </sheetPr>
  <dimension ref="A1:AW79"/>
  <sheetViews>
    <sheetView showGridLines="0" workbookViewId="0">
      <pane ySplit="9" topLeftCell="A10" activePane="bottomLeft" state="frozen"/>
      <selection pane="bottomLeft" activeCell="AX23" sqref="AX23"/>
    </sheetView>
  </sheetViews>
  <sheetFormatPr defaultColWidth="9.140625" defaultRowHeight="12.75"/>
  <cols>
    <col min="1" max="1" width="9.42578125" style="20" customWidth="1"/>
    <col min="2" max="4" width="3.7109375" style="3" customWidth="1"/>
    <col min="5" max="5" width="3.7109375" style="2" customWidth="1"/>
    <col min="6" max="6" width="5.5703125" style="2" customWidth="1"/>
    <col min="7" max="7" width="6.85546875" style="54" customWidth="1"/>
    <col min="8" max="8" width="7.28515625" style="54" customWidth="1"/>
    <col min="9" max="10" width="4.7109375" style="2" hidden="1" customWidth="1"/>
    <col min="11" max="11" width="6.28515625" style="4" hidden="1" customWidth="1"/>
    <col min="12" max="12" width="6.42578125" style="2" hidden="1" customWidth="1"/>
    <col min="13" max="13" width="3.85546875" style="2" hidden="1" customWidth="1"/>
    <col min="14" max="14" width="3.85546875" style="15" hidden="1" customWidth="1"/>
    <col min="15" max="15" width="3.85546875" style="2" hidden="1" customWidth="1"/>
    <col min="16" max="16" width="3.85546875" style="2" customWidth="1"/>
    <col min="17" max="17" width="3.85546875" style="5" customWidth="1"/>
    <col min="18" max="18" width="3.85546875" style="2" customWidth="1"/>
    <col min="19" max="21" width="3.7109375" style="2" customWidth="1"/>
    <col min="22" max="22" width="3.7109375" style="5" customWidth="1"/>
    <col min="23" max="26" width="3.7109375" style="5" hidden="1" customWidth="1"/>
    <col min="27" max="36" width="3.7109375" style="2" hidden="1" customWidth="1"/>
    <col min="37" max="38" width="3.7109375" style="2" customWidth="1"/>
    <col min="39" max="41" width="3.7109375" style="2" hidden="1" customWidth="1"/>
    <col min="42" max="42" width="4" style="2" hidden="1" customWidth="1"/>
    <col min="43" max="43" width="4.7109375" style="35" customWidth="1"/>
    <col min="44" max="44" width="3.7109375" style="2" hidden="1" customWidth="1"/>
    <col min="45" max="45" width="4.7109375" style="2" customWidth="1"/>
    <col min="46" max="46" width="11" style="24" bestFit="1" customWidth="1"/>
    <col min="47" max="47" width="11.28515625" style="2" customWidth="1"/>
    <col min="48" max="48" width="4.42578125" style="2" customWidth="1"/>
    <col min="49" max="16384" width="9.140625" style="2"/>
  </cols>
  <sheetData>
    <row r="1" spans="1:49" ht="6.75" customHeight="1"/>
    <row r="2" spans="1:49">
      <c r="A2" s="221" t="s">
        <v>605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13"/>
      <c r="AW2" s="13"/>
    </row>
    <row r="3" spans="1:49">
      <c r="A3" s="222" t="s">
        <v>34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</row>
    <row r="4" spans="1:49">
      <c r="A4" s="223"/>
      <c r="B4" s="223"/>
      <c r="C4" s="6"/>
      <c r="D4" s="7"/>
      <c r="E4" s="7"/>
      <c r="AQ4" s="2"/>
    </row>
    <row r="5" spans="1:49">
      <c r="A5" s="223" t="s">
        <v>33</v>
      </c>
      <c r="B5" s="223"/>
      <c r="C5" s="6" t="s">
        <v>615</v>
      </c>
      <c r="D5" s="7"/>
      <c r="E5" s="7"/>
      <c r="AP5" s="6"/>
      <c r="AQ5" s="6"/>
      <c r="AR5" s="6"/>
      <c r="AS5" s="6"/>
    </row>
    <row r="6" spans="1:49" ht="4.5" customHeight="1">
      <c r="C6" s="40"/>
      <c r="AQ6" s="2"/>
    </row>
    <row r="7" spans="1:49" s="4" customFormat="1" ht="13.5" customHeight="1">
      <c r="A7" s="224" t="s">
        <v>0</v>
      </c>
      <c r="B7" s="225" t="s">
        <v>506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6" t="s">
        <v>63</v>
      </c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27" t="s">
        <v>35</v>
      </c>
    </row>
    <row r="8" spans="1:49" s="4" customFormat="1" ht="19.5" customHeight="1">
      <c r="A8" s="224"/>
      <c r="B8" s="218" t="s">
        <v>31</v>
      </c>
      <c r="C8" s="218" t="s">
        <v>536</v>
      </c>
      <c r="D8" s="218" t="s">
        <v>3</v>
      </c>
      <c r="E8" s="218" t="s">
        <v>4</v>
      </c>
      <c r="F8" s="218" t="s">
        <v>2</v>
      </c>
      <c r="G8" s="228" t="s">
        <v>5</v>
      </c>
      <c r="H8" s="228"/>
      <c r="I8" s="218" t="s">
        <v>6</v>
      </c>
      <c r="J8" s="218" t="s">
        <v>7</v>
      </c>
      <c r="K8" s="219" t="s">
        <v>32</v>
      </c>
      <c r="L8" s="219"/>
      <c r="M8" s="218" t="s">
        <v>8</v>
      </c>
      <c r="N8" s="229" t="s">
        <v>9</v>
      </c>
      <c r="O8" s="218" t="s">
        <v>10</v>
      </c>
      <c r="P8" s="218" t="s">
        <v>11</v>
      </c>
      <c r="Q8" s="218" t="s">
        <v>12</v>
      </c>
      <c r="R8" s="218" t="s">
        <v>324</v>
      </c>
      <c r="S8" s="219" t="s">
        <v>15</v>
      </c>
      <c r="T8" s="219"/>
      <c r="U8" s="219"/>
      <c r="V8" s="219" t="s">
        <v>16</v>
      </c>
      <c r="W8" s="219"/>
      <c r="X8" s="219"/>
      <c r="Y8" s="219"/>
      <c r="Z8" s="219"/>
      <c r="AA8" s="216" t="s">
        <v>329</v>
      </c>
      <c r="AB8" s="216"/>
      <c r="AC8" s="216"/>
      <c r="AD8" s="217" t="s">
        <v>505</v>
      </c>
      <c r="AE8" s="217"/>
      <c r="AF8" s="216" t="s">
        <v>333</v>
      </c>
      <c r="AG8" s="216"/>
      <c r="AH8" s="216"/>
      <c r="AI8" s="216"/>
      <c r="AJ8" s="218" t="s">
        <v>19</v>
      </c>
      <c r="AK8" s="218" t="s">
        <v>17</v>
      </c>
      <c r="AL8" s="218" t="s">
        <v>18</v>
      </c>
      <c r="AM8" s="218" t="s">
        <v>332</v>
      </c>
      <c r="AN8" s="218" t="s">
        <v>331</v>
      </c>
      <c r="AO8" s="218" t="s">
        <v>330</v>
      </c>
      <c r="AP8" s="218" t="s">
        <v>507</v>
      </c>
      <c r="AQ8" s="218" t="s">
        <v>13</v>
      </c>
      <c r="AR8" s="218" t="s">
        <v>14</v>
      </c>
      <c r="AS8" s="218" t="s">
        <v>320</v>
      </c>
      <c r="AT8" s="220" t="s">
        <v>1</v>
      </c>
      <c r="AU8" s="227"/>
    </row>
    <row r="9" spans="1:49" s="4" customFormat="1" ht="47.25" customHeight="1">
      <c r="A9" s="224"/>
      <c r="B9" s="218"/>
      <c r="C9" s="218"/>
      <c r="D9" s="218"/>
      <c r="E9" s="218"/>
      <c r="F9" s="218"/>
      <c r="G9" s="33" t="s">
        <v>20</v>
      </c>
      <c r="H9" s="33" t="s">
        <v>21</v>
      </c>
      <c r="I9" s="218"/>
      <c r="J9" s="218"/>
      <c r="K9" s="78" t="s">
        <v>20</v>
      </c>
      <c r="L9" s="78" t="s">
        <v>21</v>
      </c>
      <c r="M9" s="218"/>
      <c r="N9" s="229"/>
      <c r="O9" s="218"/>
      <c r="P9" s="218"/>
      <c r="Q9" s="218"/>
      <c r="R9" s="218"/>
      <c r="S9" s="19" t="s">
        <v>22</v>
      </c>
      <c r="T9" s="19" t="s">
        <v>23</v>
      </c>
      <c r="U9" s="19" t="s">
        <v>24</v>
      </c>
      <c r="V9" s="78" t="s">
        <v>25</v>
      </c>
      <c r="W9" s="78" t="s">
        <v>26</v>
      </c>
      <c r="X9" s="78" t="s">
        <v>27</v>
      </c>
      <c r="Y9" s="78" t="s">
        <v>508</v>
      </c>
      <c r="Z9" s="78" t="s">
        <v>28</v>
      </c>
      <c r="AA9" s="19" t="s">
        <v>325</v>
      </c>
      <c r="AB9" s="19" t="s">
        <v>343</v>
      </c>
      <c r="AC9" s="19" t="s">
        <v>326</v>
      </c>
      <c r="AD9" s="19" t="s">
        <v>327</v>
      </c>
      <c r="AE9" s="19" t="s">
        <v>326</v>
      </c>
      <c r="AF9" s="19" t="s">
        <v>328</v>
      </c>
      <c r="AG9" s="19" t="s">
        <v>325</v>
      </c>
      <c r="AH9" s="19" t="s">
        <v>327</v>
      </c>
      <c r="AI9" s="19" t="s">
        <v>326</v>
      </c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20"/>
      <c r="AU9" s="227"/>
    </row>
    <row r="10" spans="1:49" s="22" customFormat="1">
      <c r="A10" s="154" t="s">
        <v>611</v>
      </c>
      <c r="B10" s="155" t="s">
        <v>611</v>
      </c>
      <c r="C10" s="155" t="s">
        <v>611</v>
      </c>
      <c r="D10" s="156" t="s">
        <v>611</v>
      </c>
      <c r="E10" s="155" t="s">
        <v>611</v>
      </c>
      <c r="F10" s="154" t="s">
        <v>611</v>
      </c>
      <c r="G10" s="157" t="s">
        <v>611</v>
      </c>
      <c r="H10" s="157" t="s">
        <v>611</v>
      </c>
      <c r="I10" s="157"/>
      <c r="J10" s="158"/>
      <c r="K10" s="157"/>
      <c r="L10" s="157"/>
      <c r="M10" s="154"/>
      <c r="N10" s="159"/>
      <c r="O10" s="154"/>
      <c r="P10" s="154" t="s">
        <v>611</v>
      </c>
      <c r="Q10" s="154" t="s">
        <v>611</v>
      </c>
      <c r="R10" s="154"/>
      <c r="S10" s="154" t="s">
        <v>611</v>
      </c>
      <c r="T10" s="154" t="s">
        <v>611</v>
      </c>
      <c r="U10" s="154" t="s">
        <v>611</v>
      </c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 t="s">
        <v>611</v>
      </c>
      <c r="AL10" s="154" t="s">
        <v>611</v>
      </c>
      <c r="AM10" s="154"/>
      <c r="AN10" s="154"/>
      <c r="AO10" s="154"/>
      <c r="AP10" s="154"/>
      <c r="AQ10" s="154"/>
      <c r="AR10" s="154"/>
      <c r="AS10" s="154" t="s">
        <v>611</v>
      </c>
      <c r="AT10" s="160" t="s">
        <v>611</v>
      </c>
      <c r="AU10" s="154"/>
    </row>
    <row r="11" spans="1:49" s="22" customFormat="1" ht="12">
      <c r="A11" s="66" t="s">
        <v>628</v>
      </c>
      <c r="B11" s="72" t="s">
        <v>241</v>
      </c>
      <c r="C11" s="72" t="s">
        <v>538</v>
      </c>
      <c r="D11" s="64" t="s">
        <v>217</v>
      </c>
      <c r="E11" s="72" t="s">
        <v>309</v>
      </c>
      <c r="F11" s="66" t="s">
        <v>61</v>
      </c>
      <c r="G11" s="80">
        <v>0</v>
      </c>
      <c r="H11" s="80">
        <v>3</v>
      </c>
      <c r="I11" s="80"/>
      <c r="J11" s="80"/>
      <c r="K11" s="80"/>
      <c r="L11" s="80"/>
      <c r="M11" s="66"/>
      <c r="N11" s="42"/>
      <c r="O11" s="66"/>
      <c r="P11" s="66" t="s">
        <v>622</v>
      </c>
      <c r="Q11" s="66" t="s">
        <v>108</v>
      </c>
      <c r="R11" s="66" t="s">
        <v>201</v>
      </c>
      <c r="S11" s="66" t="s">
        <v>209</v>
      </c>
      <c r="T11" s="66" t="s">
        <v>623</v>
      </c>
      <c r="U11" s="66" t="s">
        <v>224</v>
      </c>
      <c r="V11" s="66" t="s">
        <v>623</v>
      </c>
      <c r="W11" s="66" t="s">
        <v>623</v>
      </c>
      <c r="X11" s="66" t="s">
        <v>623</v>
      </c>
      <c r="Y11" s="66" t="s">
        <v>623</v>
      </c>
      <c r="Z11" s="66" t="s">
        <v>623</v>
      </c>
      <c r="AA11" s="66" t="s">
        <v>623</v>
      </c>
      <c r="AB11" s="66" t="s">
        <v>623</v>
      </c>
      <c r="AC11" s="66" t="s">
        <v>623</v>
      </c>
      <c r="AD11" s="66" t="s">
        <v>623</v>
      </c>
      <c r="AE11" s="66" t="s">
        <v>623</v>
      </c>
      <c r="AF11" s="66" t="s">
        <v>623</v>
      </c>
      <c r="AG11" s="66" t="s">
        <v>623</v>
      </c>
      <c r="AH11" s="66" t="s">
        <v>623</v>
      </c>
      <c r="AI11" s="66" t="s">
        <v>623</v>
      </c>
      <c r="AJ11" s="66" t="s">
        <v>623</v>
      </c>
      <c r="AK11" s="66" t="s">
        <v>29</v>
      </c>
      <c r="AL11" s="66" t="s">
        <v>515</v>
      </c>
      <c r="AM11" s="66"/>
      <c r="AN11" s="66"/>
      <c r="AO11" s="66"/>
      <c r="AP11" s="66"/>
      <c r="AQ11" s="66"/>
      <c r="AR11" s="66"/>
      <c r="AS11" s="66" t="s">
        <v>613</v>
      </c>
      <c r="AT11" s="56">
        <v>43924</v>
      </c>
      <c r="AU11" s="66"/>
    </row>
    <row r="12" spans="1:49" s="55" customFormat="1" ht="12">
      <c r="A12" s="66"/>
      <c r="B12" s="72" t="s">
        <v>241</v>
      </c>
      <c r="C12" s="72" t="s">
        <v>538</v>
      </c>
      <c r="D12" s="64" t="s">
        <v>217</v>
      </c>
      <c r="E12" s="72" t="s">
        <v>309</v>
      </c>
      <c r="F12" s="66" t="s">
        <v>61</v>
      </c>
      <c r="G12" s="80">
        <v>3</v>
      </c>
      <c r="H12" s="80">
        <v>27.5</v>
      </c>
      <c r="I12" s="80"/>
      <c r="J12" s="80"/>
      <c r="K12" s="80"/>
      <c r="L12" s="80"/>
      <c r="M12" s="66"/>
      <c r="N12" s="42"/>
      <c r="O12" s="66"/>
      <c r="P12" s="66" t="s">
        <v>622</v>
      </c>
      <c r="Q12" s="66" t="s">
        <v>118</v>
      </c>
      <c r="R12" s="66" t="s">
        <v>623</v>
      </c>
      <c r="S12" s="66" t="s">
        <v>209</v>
      </c>
      <c r="T12" s="73" t="s">
        <v>623</v>
      </c>
      <c r="U12" s="66" t="s">
        <v>228</v>
      </c>
      <c r="V12" s="66" t="s">
        <v>203</v>
      </c>
      <c r="W12" s="66" t="s">
        <v>623</v>
      </c>
      <c r="X12" s="66" t="s">
        <v>623</v>
      </c>
      <c r="Y12" s="66" t="s">
        <v>623</v>
      </c>
      <c r="Z12" s="66" t="s">
        <v>623</v>
      </c>
      <c r="AA12" s="66" t="s">
        <v>623</v>
      </c>
      <c r="AB12" s="66" t="s">
        <v>623</v>
      </c>
      <c r="AC12" s="66" t="s">
        <v>623</v>
      </c>
      <c r="AD12" s="66" t="s">
        <v>623</v>
      </c>
      <c r="AE12" s="66" t="s">
        <v>623</v>
      </c>
      <c r="AF12" s="66" t="s">
        <v>623</v>
      </c>
      <c r="AG12" s="66" t="s">
        <v>623</v>
      </c>
      <c r="AH12" s="66" t="s">
        <v>623</v>
      </c>
      <c r="AI12" s="66" t="s">
        <v>623</v>
      </c>
      <c r="AJ12" s="66" t="s">
        <v>623</v>
      </c>
      <c r="AK12" s="66" t="s">
        <v>248</v>
      </c>
      <c r="AL12" s="66" t="s">
        <v>234</v>
      </c>
      <c r="AM12" s="66"/>
      <c r="AN12" s="66"/>
      <c r="AO12" s="66"/>
      <c r="AP12" s="66"/>
      <c r="AQ12" s="66"/>
      <c r="AR12" s="66"/>
      <c r="AS12" s="66" t="s">
        <v>613</v>
      </c>
      <c r="AT12" s="56">
        <v>43924</v>
      </c>
      <c r="AU12" s="66"/>
    </row>
    <row r="13" spans="1:49" s="22" customFormat="1" ht="12">
      <c r="A13" s="66"/>
      <c r="B13" s="72" t="s">
        <v>241</v>
      </c>
      <c r="C13" s="72" t="s">
        <v>538</v>
      </c>
      <c r="D13" s="64" t="s">
        <v>217</v>
      </c>
      <c r="E13" s="72" t="s">
        <v>309</v>
      </c>
      <c r="F13" s="66" t="s">
        <v>61</v>
      </c>
      <c r="G13" s="80">
        <v>27.5</v>
      </c>
      <c r="H13" s="80">
        <v>27.62</v>
      </c>
      <c r="I13" s="80"/>
      <c r="J13" s="80"/>
      <c r="K13" s="80"/>
      <c r="L13" s="80"/>
      <c r="M13" s="66"/>
      <c r="N13" s="42"/>
      <c r="O13" s="66"/>
      <c r="P13" s="66" t="s">
        <v>622</v>
      </c>
      <c r="Q13" s="66" t="s">
        <v>81</v>
      </c>
      <c r="R13" s="66" t="s">
        <v>623</v>
      </c>
      <c r="S13" s="66" t="s">
        <v>623</v>
      </c>
      <c r="T13" s="66" t="s">
        <v>623</v>
      </c>
      <c r="U13" s="66" t="s">
        <v>228</v>
      </c>
      <c r="V13" s="66" t="s">
        <v>623</v>
      </c>
      <c r="W13" s="66" t="s">
        <v>623</v>
      </c>
      <c r="X13" s="66" t="s">
        <v>623</v>
      </c>
      <c r="Y13" s="66" t="s">
        <v>623</v>
      </c>
      <c r="Z13" s="66" t="s">
        <v>623</v>
      </c>
      <c r="AA13" s="66" t="s">
        <v>623</v>
      </c>
      <c r="AB13" s="66" t="s">
        <v>623</v>
      </c>
      <c r="AC13" s="66" t="s">
        <v>623</v>
      </c>
      <c r="AD13" s="66" t="s">
        <v>623</v>
      </c>
      <c r="AE13" s="66" t="s">
        <v>623</v>
      </c>
      <c r="AF13" s="66" t="s">
        <v>623</v>
      </c>
      <c r="AG13" s="66" t="s">
        <v>623</v>
      </c>
      <c r="AH13" s="66" t="s">
        <v>623</v>
      </c>
      <c r="AI13" s="66" t="s">
        <v>623</v>
      </c>
      <c r="AJ13" s="66" t="s">
        <v>623</v>
      </c>
      <c r="AK13" s="66" t="s">
        <v>250</v>
      </c>
      <c r="AL13" s="66" t="s">
        <v>234</v>
      </c>
      <c r="AM13" s="66"/>
      <c r="AN13" s="66"/>
      <c r="AO13" s="66"/>
      <c r="AP13" s="66"/>
      <c r="AQ13" s="66"/>
      <c r="AR13" s="66"/>
      <c r="AS13" s="66" t="s">
        <v>613</v>
      </c>
      <c r="AT13" s="56">
        <v>43924</v>
      </c>
      <c r="AU13" s="66"/>
    </row>
    <row r="14" spans="1:49" s="22" customFormat="1" ht="12">
      <c r="A14" s="66"/>
      <c r="B14" s="72" t="s">
        <v>241</v>
      </c>
      <c r="C14" s="72" t="s">
        <v>538</v>
      </c>
      <c r="D14" s="64" t="s">
        <v>217</v>
      </c>
      <c r="E14" s="72" t="s">
        <v>309</v>
      </c>
      <c r="F14" s="66" t="s">
        <v>61</v>
      </c>
      <c r="G14" s="80">
        <v>27.62</v>
      </c>
      <c r="H14" s="80">
        <v>28.6</v>
      </c>
      <c r="I14" s="80"/>
      <c r="J14" s="80"/>
      <c r="K14" s="80"/>
      <c r="L14" s="80"/>
      <c r="M14" s="66"/>
      <c r="N14" s="42"/>
      <c r="O14" s="66"/>
      <c r="P14" s="66" t="s">
        <v>622</v>
      </c>
      <c r="Q14" s="66" t="s">
        <v>83</v>
      </c>
      <c r="R14" s="66" t="s">
        <v>623</v>
      </c>
      <c r="S14" s="66" t="s">
        <v>623</v>
      </c>
      <c r="T14" s="66" t="s">
        <v>623</v>
      </c>
      <c r="U14" s="66" t="s">
        <v>356</v>
      </c>
      <c r="V14" s="66" t="s">
        <v>623</v>
      </c>
      <c r="W14" s="66" t="s">
        <v>623</v>
      </c>
      <c r="X14" s="66" t="s">
        <v>623</v>
      </c>
      <c r="Y14" s="66" t="s">
        <v>623</v>
      </c>
      <c r="Z14" s="66" t="s">
        <v>623</v>
      </c>
      <c r="AA14" s="66" t="s">
        <v>623</v>
      </c>
      <c r="AB14" s="66" t="s">
        <v>623</v>
      </c>
      <c r="AC14" s="66" t="s">
        <v>623</v>
      </c>
      <c r="AD14" s="66" t="s">
        <v>623</v>
      </c>
      <c r="AE14" s="66" t="s">
        <v>623</v>
      </c>
      <c r="AF14" s="66" t="s">
        <v>623</v>
      </c>
      <c r="AG14" s="66" t="s">
        <v>623</v>
      </c>
      <c r="AH14" s="66" t="s">
        <v>623</v>
      </c>
      <c r="AI14" s="66" t="s">
        <v>623</v>
      </c>
      <c r="AJ14" s="66" t="s">
        <v>623</v>
      </c>
      <c r="AK14" s="66" t="s">
        <v>250</v>
      </c>
      <c r="AL14" s="66" t="s">
        <v>234</v>
      </c>
      <c r="AM14" s="66"/>
      <c r="AN14" s="66"/>
      <c r="AO14" s="66"/>
      <c r="AP14" s="66"/>
      <c r="AQ14" s="66" t="s">
        <v>616</v>
      </c>
      <c r="AR14" s="66"/>
      <c r="AS14" s="66" t="s">
        <v>613</v>
      </c>
      <c r="AT14" s="56">
        <v>43924</v>
      </c>
      <c r="AU14" s="66"/>
    </row>
    <row r="15" spans="1:49" s="55" customFormat="1" ht="12">
      <c r="A15" s="66"/>
      <c r="B15" s="72" t="s">
        <v>241</v>
      </c>
      <c r="C15" s="72" t="s">
        <v>538</v>
      </c>
      <c r="D15" s="64" t="s">
        <v>217</v>
      </c>
      <c r="E15" s="72" t="s">
        <v>309</v>
      </c>
      <c r="F15" s="66" t="s">
        <v>61</v>
      </c>
      <c r="G15" s="80">
        <v>28.6</v>
      </c>
      <c r="H15" s="80">
        <v>28.65</v>
      </c>
      <c r="I15" s="80"/>
      <c r="J15" s="66"/>
      <c r="K15" s="42"/>
      <c r="L15" s="66"/>
      <c r="M15" s="66"/>
      <c r="N15" s="42"/>
      <c r="O15" s="66"/>
      <c r="P15" s="66" t="s">
        <v>622</v>
      </c>
      <c r="Q15" s="66" t="s">
        <v>81</v>
      </c>
      <c r="R15" s="66" t="s">
        <v>623</v>
      </c>
      <c r="S15" s="66" t="s">
        <v>623</v>
      </c>
      <c r="T15" s="66" t="s">
        <v>623</v>
      </c>
      <c r="U15" s="66" t="s">
        <v>228</v>
      </c>
      <c r="V15" s="66" t="s">
        <v>623</v>
      </c>
      <c r="W15" s="66" t="s">
        <v>623</v>
      </c>
      <c r="X15" s="66" t="s">
        <v>623</v>
      </c>
      <c r="Y15" s="66" t="s">
        <v>623</v>
      </c>
      <c r="Z15" s="66" t="s">
        <v>623</v>
      </c>
      <c r="AA15" s="66" t="s">
        <v>623</v>
      </c>
      <c r="AB15" s="66" t="s">
        <v>623</v>
      </c>
      <c r="AC15" s="66" t="s">
        <v>623</v>
      </c>
      <c r="AD15" s="66" t="s">
        <v>623</v>
      </c>
      <c r="AE15" s="66" t="s">
        <v>623</v>
      </c>
      <c r="AF15" s="66" t="s">
        <v>623</v>
      </c>
      <c r="AG15" s="66" t="s">
        <v>623</v>
      </c>
      <c r="AH15" s="66" t="s">
        <v>623</v>
      </c>
      <c r="AI15" s="66" t="s">
        <v>623</v>
      </c>
      <c r="AJ15" s="66" t="s">
        <v>623</v>
      </c>
      <c r="AK15" s="66" t="s">
        <v>250</v>
      </c>
      <c r="AL15" s="66" t="s">
        <v>234</v>
      </c>
      <c r="AM15" s="66"/>
      <c r="AN15" s="66"/>
      <c r="AO15" s="66"/>
      <c r="AP15" s="66"/>
      <c r="AQ15" s="66" t="s">
        <v>617</v>
      </c>
      <c r="AR15" s="66"/>
      <c r="AS15" s="66" t="s">
        <v>613</v>
      </c>
      <c r="AT15" s="56">
        <v>43924</v>
      </c>
      <c r="AU15" s="66"/>
    </row>
    <row r="16" spans="1:49" s="55" customFormat="1" ht="12.75" customHeight="1">
      <c r="A16" s="66"/>
      <c r="B16" s="72" t="s">
        <v>241</v>
      </c>
      <c r="C16" s="72" t="s">
        <v>538</v>
      </c>
      <c r="D16" s="64" t="s">
        <v>217</v>
      </c>
      <c r="E16" s="72" t="s">
        <v>309</v>
      </c>
      <c r="F16" s="66" t="s">
        <v>61</v>
      </c>
      <c r="G16" s="80">
        <v>28.65</v>
      </c>
      <c r="H16" s="80">
        <v>29.2</v>
      </c>
      <c r="I16" s="80"/>
      <c r="J16" s="66"/>
      <c r="K16" s="42"/>
      <c r="L16" s="66"/>
      <c r="M16" s="66"/>
      <c r="N16" s="42"/>
      <c r="O16" s="66"/>
      <c r="P16" s="66" t="s">
        <v>622</v>
      </c>
      <c r="Q16" s="66" t="s">
        <v>83</v>
      </c>
      <c r="R16" s="66" t="s">
        <v>623</v>
      </c>
      <c r="S16" s="66" t="s">
        <v>623</v>
      </c>
      <c r="T16" s="66" t="s">
        <v>623</v>
      </c>
      <c r="U16" s="66" t="s">
        <v>356</v>
      </c>
      <c r="V16" s="66" t="s">
        <v>623</v>
      </c>
      <c r="W16" s="66" t="s">
        <v>623</v>
      </c>
      <c r="X16" s="66" t="s">
        <v>623</v>
      </c>
      <c r="Y16" s="66" t="s">
        <v>623</v>
      </c>
      <c r="Z16" s="66" t="s">
        <v>623</v>
      </c>
      <c r="AA16" s="66" t="s">
        <v>623</v>
      </c>
      <c r="AB16" s="66" t="s">
        <v>623</v>
      </c>
      <c r="AC16" s="66" t="s">
        <v>623</v>
      </c>
      <c r="AD16" s="66" t="s">
        <v>623</v>
      </c>
      <c r="AE16" s="66" t="s">
        <v>623</v>
      </c>
      <c r="AF16" s="66" t="s">
        <v>623</v>
      </c>
      <c r="AG16" s="66" t="s">
        <v>623</v>
      </c>
      <c r="AH16" s="66" t="s">
        <v>623</v>
      </c>
      <c r="AI16" s="66" t="s">
        <v>623</v>
      </c>
      <c r="AJ16" s="66" t="s">
        <v>623</v>
      </c>
      <c r="AK16" s="66" t="s">
        <v>250</v>
      </c>
      <c r="AL16" s="66" t="s">
        <v>234</v>
      </c>
      <c r="AM16" s="66"/>
      <c r="AN16" s="66"/>
      <c r="AO16" s="66"/>
      <c r="AP16" s="66"/>
      <c r="AQ16" s="66" t="s">
        <v>616</v>
      </c>
      <c r="AR16" s="66"/>
      <c r="AS16" s="66" t="s">
        <v>613</v>
      </c>
      <c r="AT16" s="56">
        <v>43924</v>
      </c>
      <c r="AU16" s="66"/>
    </row>
    <row r="17" spans="1:47" s="22" customFormat="1">
      <c r="A17" s="66"/>
      <c r="B17" s="72" t="s">
        <v>241</v>
      </c>
      <c r="C17" s="72" t="s">
        <v>538</v>
      </c>
      <c r="D17" s="64" t="s">
        <v>217</v>
      </c>
      <c r="E17" s="72" t="s">
        <v>309</v>
      </c>
      <c r="F17" s="66" t="s">
        <v>61</v>
      </c>
      <c r="G17" s="80">
        <v>29.2</v>
      </c>
      <c r="H17" s="80">
        <v>41.4</v>
      </c>
      <c r="I17" s="80"/>
      <c r="J17" s="66"/>
      <c r="K17" s="42"/>
      <c r="L17" s="66"/>
      <c r="M17" s="66"/>
      <c r="N17" s="42"/>
      <c r="O17" s="66"/>
      <c r="P17" s="66" t="s">
        <v>622</v>
      </c>
      <c r="Q17" s="66" t="s">
        <v>81</v>
      </c>
      <c r="R17" s="66" t="s">
        <v>623</v>
      </c>
      <c r="S17" s="66" t="s">
        <v>623</v>
      </c>
      <c r="T17" s="66" t="s">
        <v>623</v>
      </c>
      <c r="U17" s="66" t="s">
        <v>228</v>
      </c>
      <c r="V17" s="66" t="s">
        <v>623</v>
      </c>
      <c r="W17" s="66" t="s">
        <v>623</v>
      </c>
      <c r="X17" s="66" t="s">
        <v>623</v>
      </c>
      <c r="Y17" s="66" t="s">
        <v>623</v>
      </c>
      <c r="Z17" s="66" t="s">
        <v>623</v>
      </c>
      <c r="AA17" s="66" t="s">
        <v>623</v>
      </c>
      <c r="AB17" s="66" t="s">
        <v>623</v>
      </c>
      <c r="AC17" s="66" t="s">
        <v>623</v>
      </c>
      <c r="AD17" s="66" t="s">
        <v>623</v>
      </c>
      <c r="AE17" s="66" t="s">
        <v>623</v>
      </c>
      <c r="AF17" s="66" t="s">
        <v>623</v>
      </c>
      <c r="AG17" s="66" t="s">
        <v>623</v>
      </c>
      <c r="AH17" s="66" t="s">
        <v>623</v>
      </c>
      <c r="AI17" s="66" t="s">
        <v>623</v>
      </c>
      <c r="AJ17" s="66" t="s">
        <v>623</v>
      </c>
      <c r="AK17" s="66" t="s">
        <v>250</v>
      </c>
      <c r="AL17" s="66" t="s">
        <v>234</v>
      </c>
      <c r="AM17" s="66"/>
      <c r="AN17" s="66"/>
      <c r="AO17" s="66"/>
      <c r="AP17" s="66"/>
      <c r="AQ17" s="66"/>
      <c r="AR17" s="75"/>
      <c r="AS17" s="66" t="s">
        <v>613</v>
      </c>
      <c r="AT17" s="56">
        <v>43925</v>
      </c>
      <c r="AU17" s="66"/>
    </row>
    <row r="18" spans="1:47" s="55" customFormat="1" ht="12.75" customHeight="1">
      <c r="A18" s="66"/>
      <c r="B18" s="72" t="s">
        <v>241</v>
      </c>
      <c r="C18" s="72" t="s">
        <v>538</v>
      </c>
      <c r="D18" s="64" t="s">
        <v>217</v>
      </c>
      <c r="E18" s="72" t="s">
        <v>309</v>
      </c>
      <c r="F18" s="66" t="s">
        <v>61</v>
      </c>
      <c r="G18" s="80">
        <v>41.4</v>
      </c>
      <c r="H18" s="80">
        <v>41.85</v>
      </c>
      <c r="I18" s="80"/>
      <c r="J18" s="66"/>
      <c r="K18" s="42"/>
      <c r="L18" s="66"/>
      <c r="M18" s="66"/>
      <c r="N18" s="42"/>
      <c r="O18" s="66"/>
      <c r="P18" s="66" t="s">
        <v>622</v>
      </c>
      <c r="Q18" s="66" t="s">
        <v>73</v>
      </c>
      <c r="R18" s="66" t="s">
        <v>62</v>
      </c>
      <c r="S18" s="66" t="s">
        <v>346</v>
      </c>
      <c r="T18" s="66" t="s">
        <v>623</v>
      </c>
      <c r="U18" s="66" t="s">
        <v>224</v>
      </c>
      <c r="V18" s="66" t="s">
        <v>623</v>
      </c>
      <c r="W18" s="66" t="s">
        <v>623</v>
      </c>
      <c r="X18" s="66" t="s">
        <v>623</v>
      </c>
      <c r="Y18" s="66" t="s">
        <v>623</v>
      </c>
      <c r="Z18" s="66" t="s">
        <v>623</v>
      </c>
      <c r="AA18" s="66" t="s">
        <v>623</v>
      </c>
      <c r="AB18" s="66" t="s">
        <v>623</v>
      </c>
      <c r="AC18" s="66" t="s">
        <v>623</v>
      </c>
      <c r="AD18" s="66" t="s">
        <v>623</v>
      </c>
      <c r="AE18" s="66" t="s">
        <v>623</v>
      </c>
      <c r="AF18" s="66" t="s">
        <v>623</v>
      </c>
      <c r="AG18" s="66" t="s">
        <v>623</v>
      </c>
      <c r="AH18" s="66" t="s">
        <v>623</v>
      </c>
      <c r="AI18" s="66" t="s">
        <v>623</v>
      </c>
      <c r="AJ18" s="66" t="s">
        <v>623</v>
      </c>
      <c r="AK18" s="66" t="s">
        <v>250</v>
      </c>
      <c r="AL18" s="66" t="s">
        <v>234</v>
      </c>
      <c r="AM18" s="66"/>
      <c r="AN18" s="66"/>
      <c r="AO18" s="66"/>
      <c r="AP18" s="66"/>
      <c r="AQ18" s="66"/>
      <c r="AR18" s="66"/>
      <c r="AS18" s="66" t="s">
        <v>613</v>
      </c>
      <c r="AT18" s="56">
        <v>43925</v>
      </c>
      <c r="AU18" s="66"/>
    </row>
    <row r="19" spans="1:47" s="22" customFormat="1" ht="12.75" customHeight="1">
      <c r="A19" s="66"/>
      <c r="B19" s="72" t="s">
        <v>241</v>
      </c>
      <c r="C19" s="72" t="s">
        <v>538</v>
      </c>
      <c r="D19" s="64" t="s">
        <v>217</v>
      </c>
      <c r="E19" s="72" t="s">
        <v>309</v>
      </c>
      <c r="F19" s="66" t="s">
        <v>61</v>
      </c>
      <c r="G19" s="80">
        <v>41.85</v>
      </c>
      <c r="H19" s="80">
        <v>43.45</v>
      </c>
      <c r="I19" s="80"/>
      <c r="J19" s="66"/>
      <c r="K19" s="42"/>
      <c r="L19" s="66"/>
      <c r="M19" s="66"/>
      <c r="N19" s="42"/>
      <c r="O19" s="66"/>
      <c r="P19" s="66" t="s">
        <v>622</v>
      </c>
      <c r="Q19" s="66" t="s">
        <v>83</v>
      </c>
      <c r="R19" s="66" t="s">
        <v>623</v>
      </c>
      <c r="S19" s="66" t="s">
        <v>623</v>
      </c>
      <c r="T19" s="66" t="s">
        <v>623</v>
      </c>
      <c r="U19" s="66" t="s">
        <v>356</v>
      </c>
      <c r="V19" s="66" t="s">
        <v>623</v>
      </c>
      <c r="W19" s="66" t="s">
        <v>623</v>
      </c>
      <c r="X19" s="66" t="s">
        <v>623</v>
      </c>
      <c r="Y19" s="66" t="s">
        <v>623</v>
      </c>
      <c r="Z19" s="66" t="s">
        <v>623</v>
      </c>
      <c r="AA19" s="66" t="s">
        <v>623</v>
      </c>
      <c r="AB19" s="66" t="s">
        <v>623</v>
      </c>
      <c r="AC19" s="66" t="s">
        <v>623</v>
      </c>
      <c r="AD19" s="66" t="s">
        <v>623</v>
      </c>
      <c r="AE19" s="66" t="s">
        <v>623</v>
      </c>
      <c r="AF19" s="66" t="s">
        <v>623</v>
      </c>
      <c r="AG19" s="66" t="s">
        <v>623</v>
      </c>
      <c r="AH19" s="66" t="s">
        <v>623</v>
      </c>
      <c r="AI19" s="66" t="s">
        <v>623</v>
      </c>
      <c r="AJ19" s="66" t="s">
        <v>623</v>
      </c>
      <c r="AK19" s="66" t="s">
        <v>250</v>
      </c>
      <c r="AL19" s="66" t="s">
        <v>234</v>
      </c>
      <c r="AM19" s="66"/>
      <c r="AN19" s="66"/>
      <c r="AO19" s="66"/>
      <c r="AP19" s="66"/>
      <c r="AQ19" s="66" t="s">
        <v>618</v>
      </c>
      <c r="AR19" s="66"/>
      <c r="AS19" s="66" t="s">
        <v>613</v>
      </c>
      <c r="AT19" s="56">
        <v>43925</v>
      </c>
      <c r="AU19" s="66"/>
    </row>
    <row r="20" spans="1:47" s="22" customFormat="1" ht="12" customHeight="1">
      <c r="A20" s="66"/>
      <c r="B20" s="72" t="s">
        <v>241</v>
      </c>
      <c r="C20" s="72" t="s">
        <v>538</v>
      </c>
      <c r="D20" s="64" t="s">
        <v>217</v>
      </c>
      <c r="E20" s="72" t="s">
        <v>309</v>
      </c>
      <c r="F20" s="66" t="s">
        <v>61</v>
      </c>
      <c r="G20" s="80">
        <v>43.45</v>
      </c>
      <c r="H20" s="80">
        <v>58.92</v>
      </c>
      <c r="I20" s="80"/>
      <c r="J20" s="66"/>
      <c r="K20" s="42"/>
      <c r="L20" s="66"/>
      <c r="M20" s="66"/>
      <c r="N20" s="42"/>
      <c r="O20" s="66"/>
      <c r="P20" s="66" t="s">
        <v>622</v>
      </c>
      <c r="Q20" s="66" t="s">
        <v>81</v>
      </c>
      <c r="R20" s="66" t="s">
        <v>623</v>
      </c>
      <c r="S20" s="66" t="s">
        <v>623</v>
      </c>
      <c r="T20" s="66" t="s">
        <v>623</v>
      </c>
      <c r="U20" s="66" t="s">
        <v>228</v>
      </c>
      <c r="V20" s="66" t="s">
        <v>623</v>
      </c>
      <c r="W20" s="66" t="s">
        <v>623</v>
      </c>
      <c r="X20" s="66" t="s">
        <v>623</v>
      </c>
      <c r="Y20" s="66" t="s">
        <v>623</v>
      </c>
      <c r="Z20" s="66" t="s">
        <v>623</v>
      </c>
      <c r="AA20" s="66" t="s">
        <v>623</v>
      </c>
      <c r="AB20" s="66" t="s">
        <v>623</v>
      </c>
      <c r="AC20" s="66" t="s">
        <v>623</v>
      </c>
      <c r="AD20" s="66" t="s">
        <v>623</v>
      </c>
      <c r="AE20" s="66" t="s">
        <v>623</v>
      </c>
      <c r="AF20" s="66" t="s">
        <v>623</v>
      </c>
      <c r="AG20" s="66" t="s">
        <v>623</v>
      </c>
      <c r="AH20" s="66" t="s">
        <v>623</v>
      </c>
      <c r="AI20" s="66" t="s">
        <v>623</v>
      </c>
      <c r="AJ20" s="66" t="s">
        <v>623</v>
      </c>
      <c r="AK20" s="66" t="s">
        <v>250</v>
      </c>
      <c r="AL20" s="66" t="s">
        <v>234</v>
      </c>
      <c r="AM20" s="66"/>
      <c r="AN20" s="66"/>
      <c r="AO20" s="66"/>
      <c r="AP20" s="66"/>
      <c r="AQ20" s="66"/>
      <c r="AR20" s="66"/>
      <c r="AS20" s="66" t="s">
        <v>613</v>
      </c>
      <c r="AT20" s="56">
        <v>43925</v>
      </c>
      <c r="AU20" s="66"/>
    </row>
    <row r="21" spans="1:47" s="22" customFormat="1" ht="12" customHeight="1">
      <c r="A21" s="66"/>
      <c r="B21" s="72" t="s">
        <v>241</v>
      </c>
      <c r="C21" s="72" t="s">
        <v>538</v>
      </c>
      <c r="D21" s="64" t="s">
        <v>217</v>
      </c>
      <c r="E21" s="72" t="s">
        <v>309</v>
      </c>
      <c r="F21" s="66" t="s">
        <v>61</v>
      </c>
      <c r="G21" s="80">
        <v>58.92</v>
      </c>
      <c r="H21" s="80">
        <v>60.25</v>
      </c>
      <c r="I21" s="80"/>
      <c r="J21" s="66"/>
      <c r="K21" s="42"/>
      <c r="L21" s="66"/>
      <c r="M21" s="66"/>
      <c r="N21" s="42"/>
      <c r="O21" s="66"/>
      <c r="P21" s="66" t="s">
        <v>622</v>
      </c>
      <c r="Q21" s="66" t="s">
        <v>83</v>
      </c>
      <c r="R21" s="66" t="s">
        <v>623</v>
      </c>
      <c r="S21" s="66" t="s">
        <v>623</v>
      </c>
      <c r="T21" s="66" t="s">
        <v>623</v>
      </c>
      <c r="U21" s="66" t="s">
        <v>356</v>
      </c>
      <c r="V21" s="66" t="s">
        <v>623</v>
      </c>
      <c r="W21" s="66" t="s">
        <v>623</v>
      </c>
      <c r="X21" s="66" t="s">
        <v>623</v>
      </c>
      <c r="Y21" s="66" t="s">
        <v>623</v>
      </c>
      <c r="Z21" s="66" t="s">
        <v>623</v>
      </c>
      <c r="AA21" s="66" t="s">
        <v>623</v>
      </c>
      <c r="AB21" s="66" t="s">
        <v>623</v>
      </c>
      <c r="AC21" s="66" t="s">
        <v>623</v>
      </c>
      <c r="AD21" s="66" t="s">
        <v>623</v>
      </c>
      <c r="AE21" s="66" t="s">
        <v>623</v>
      </c>
      <c r="AF21" s="66" t="s">
        <v>623</v>
      </c>
      <c r="AG21" s="66" t="s">
        <v>623</v>
      </c>
      <c r="AH21" s="66" t="s">
        <v>623</v>
      </c>
      <c r="AI21" s="66" t="s">
        <v>623</v>
      </c>
      <c r="AJ21" s="66" t="s">
        <v>623</v>
      </c>
      <c r="AK21" s="66" t="s">
        <v>250</v>
      </c>
      <c r="AL21" s="66" t="s">
        <v>234</v>
      </c>
      <c r="AM21" s="67"/>
      <c r="AN21" s="66"/>
      <c r="AO21" s="66"/>
      <c r="AP21" s="66"/>
      <c r="AQ21" s="143" t="s">
        <v>619</v>
      </c>
      <c r="AR21" s="66"/>
      <c r="AS21" s="66" t="s">
        <v>613</v>
      </c>
      <c r="AT21" s="56">
        <v>43925</v>
      </c>
      <c r="AU21" s="66"/>
    </row>
    <row r="22" spans="1:47" s="55" customFormat="1" ht="12" customHeight="1">
      <c r="A22" s="66"/>
      <c r="B22" s="72" t="s">
        <v>241</v>
      </c>
      <c r="C22" s="72" t="s">
        <v>538</v>
      </c>
      <c r="D22" s="64" t="s">
        <v>217</v>
      </c>
      <c r="E22" s="72" t="s">
        <v>309</v>
      </c>
      <c r="F22" s="66" t="s">
        <v>61</v>
      </c>
      <c r="G22" s="80">
        <v>60.25</v>
      </c>
      <c r="H22" s="80">
        <v>60.45</v>
      </c>
      <c r="I22" s="80"/>
      <c r="J22" s="66"/>
      <c r="K22" s="42"/>
      <c r="L22" s="66"/>
      <c r="M22" s="66"/>
      <c r="N22" s="42"/>
      <c r="O22" s="66"/>
      <c r="P22" s="66" t="s">
        <v>622</v>
      </c>
      <c r="Q22" s="66" t="s">
        <v>81</v>
      </c>
      <c r="R22" s="66" t="s">
        <v>623</v>
      </c>
      <c r="S22" s="66" t="s">
        <v>623</v>
      </c>
      <c r="T22" s="66" t="s">
        <v>623</v>
      </c>
      <c r="U22" s="66" t="s">
        <v>228</v>
      </c>
      <c r="V22" s="66" t="s">
        <v>623</v>
      </c>
      <c r="W22" s="66" t="s">
        <v>623</v>
      </c>
      <c r="X22" s="66" t="s">
        <v>623</v>
      </c>
      <c r="Y22" s="66" t="s">
        <v>623</v>
      </c>
      <c r="Z22" s="66" t="s">
        <v>623</v>
      </c>
      <c r="AA22" s="66" t="s">
        <v>623</v>
      </c>
      <c r="AB22" s="66" t="s">
        <v>623</v>
      </c>
      <c r="AC22" s="66" t="s">
        <v>623</v>
      </c>
      <c r="AD22" s="66" t="s">
        <v>623</v>
      </c>
      <c r="AE22" s="66" t="s">
        <v>623</v>
      </c>
      <c r="AF22" s="66" t="s">
        <v>623</v>
      </c>
      <c r="AG22" s="66" t="s">
        <v>623</v>
      </c>
      <c r="AH22" s="66" t="s">
        <v>623</v>
      </c>
      <c r="AI22" s="66" t="s">
        <v>623</v>
      </c>
      <c r="AJ22" s="66" t="s">
        <v>623</v>
      </c>
      <c r="AK22" s="66" t="s">
        <v>250</v>
      </c>
      <c r="AL22" s="66" t="s">
        <v>234</v>
      </c>
      <c r="AM22" s="67"/>
      <c r="AN22" s="66"/>
      <c r="AO22" s="66"/>
      <c r="AP22" s="66"/>
      <c r="AQ22" s="66"/>
      <c r="AR22" s="66"/>
      <c r="AS22" s="66" t="s">
        <v>613</v>
      </c>
      <c r="AT22" s="56">
        <v>43925</v>
      </c>
      <c r="AU22" s="66"/>
    </row>
    <row r="23" spans="1:47" s="22" customFormat="1" ht="12" customHeight="1">
      <c r="A23" s="66"/>
      <c r="B23" s="72" t="s">
        <v>241</v>
      </c>
      <c r="C23" s="72" t="s">
        <v>538</v>
      </c>
      <c r="D23" s="64" t="s">
        <v>217</v>
      </c>
      <c r="E23" s="72" t="s">
        <v>309</v>
      </c>
      <c r="F23" s="66" t="s">
        <v>61</v>
      </c>
      <c r="G23" s="80">
        <v>60.45</v>
      </c>
      <c r="H23" s="80">
        <v>61.4</v>
      </c>
      <c r="I23" s="80"/>
      <c r="J23" s="66"/>
      <c r="K23" s="42"/>
      <c r="L23" s="66"/>
      <c r="M23" s="66"/>
      <c r="N23" s="42"/>
      <c r="O23" s="66"/>
      <c r="P23" s="66" t="s">
        <v>622</v>
      </c>
      <c r="Q23" s="66" t="s">
        <v>83</v>
      </c>
      <c r="R23" s="66" t="s">
        <v>623</v>
      </c>
      <c r="S23" s="66" t="s">
        <v>623</v>
      </c>
      <c r="T23" s="66" t="s">
        <v>623</v>
      </c>
      <c r="U23" s="66" t="s">
        <v>356</v>
      </c>
      <c r="V23" s="66" t="s">
        <v>623</v>
      </c>
      <c r="W23" s="66" t="s">
        <v>623</v>
      </c>
      <c r="X23" s="66" t="s">
        <v>623</v>
      </c>
      <c r="Y23" s="66" t="s">
        <v>623</v>
      </c>
      <c r="Z23" s="66" t="s">
        <v>623</v>
      </c>
      <c r="AA23" s="66" t="s">
        <v>623</v>
      </c>
      <c r="AB23" s="66" t="s">
        <v>623</v>
      </c>
      <c r="AC23" s="66" t="s">
        <v>623</v>
      </c>
      <c r="AD23" s="66" t="s">
        <v>623</v>
      </c>
      <c r="AE23" s="66" t="s">
        <v>623</v>
      </c>
      <c r="AF23" s="66" t="s">
        <v>623</v>
      </c>
      <c r="AG23" s="66" t="s">
        <v>623</v>
      </c>
      <c r="AH23" s="66" t="s">
        <v>623</v>
      </c>
      <c r="AI23" s="66" t="s">
        <v>623</v>
      </c>
      <c r="AJ23" s="66" t="s">
        <v>623</v>
      </c>
      <c r="AK23" s="66" t="s">
        <v>250</v>
      </c>
      <c r="AL23" s="66" t="s">
        <v>234</v>
      </c>
      <c r="AM23" s="67"/>
      <c r="AN23" s="66"/>
      <c r="AO23" s="66"/>
      <c r="AP23" s="66"/>
      <c r="AQ23" s="66" t="s">
        <v>619</v>
      </c>
      <c r="AR23" s="66"/>
      <c r="AS23" s="66" t="s">
        <v>613</v>
      </c>
      <c r="AT23" s="56">
        <v>43926</v>
      </c>
      <c r="AU23" s="66"/>
    </row>
    <row r="24" spans="1:47" s="22" customFormat="1" ht="12" customHeight="1">
      <c r="A24" s="66"/>
      <c r="B24" s="72" t="s">
        <v>241</v>
      </c>
      <c r="C24" s="72" t="s">
        <v>538</v>
      </c>
      <c r="D24" s="64" t="s">
        <v>217</v>
      </c>
      <c r="E24" s="72" t="s">
        <v>309</v>
      </c>
      <c r="F24" s="66" t="s">
        <v>61</v>
      </c>
      <c r="G24" s="80">
        <v>61.4</v>
      </c>
      <c r="H24" s="80">
        <v>61.45</v>
      </c>
      <c r="I24" s="80"/>
      <c r="J24" s="66"/>
      <c r="K24" s="42"/>
      <c r="L24" s="66"/>
      <c r="M24" s="66"/>
      <c r="N24" s="42"/>
      <c r="O24" s="66"/>
      <c r="P24" s="66" t="s">
        <v>622</v>
      </c>
      <c r="Q24" s="66" t="s">
        <v>81</v>
      </c>
      <c r="R24" s="66" t="s">
        <v>623</v>
      </c>
      <c r="S24" s="66" t="s">
        <v>623</v>
      </c>
      <c r="T24" s="66" t="s">
        <v>623</v>
      </c>
      <c r="U24" s="66" t="s">
        <v>228</v>
      </c>
      <c r="V24" s="66" t="s">
        <v>623</v>
      </c>
      <c r="W24" s="66" t="s">
        <v>623</v>
      </c>
      <c r="X24" s="66" t="s">
        <v>623</v>
      </c>
      <c r="Y24" s="66" t="s">
        <v>623</v>
      </c>
      <c r="Z24" s="66" t="s">
        <v>623</v>
      </c>
      <c r="AA24" s="66" t="s">
        <v>623</v>
      </c>
      <c r="AB24" s="66" t="s">
        <v>623</v>
      </c>
      <c r="AC24" s="66" t="s">
        <v>623</v>
      </c>
      <c r="AD24" s="66" t="s">
        <v>623</v>
      </c>
      <c r="AE24" s="66" t="s">
        <v>623</v>
      </c>
      <c r="AF24" s="66" t="s">
        <v>623</v>
      </c>
      <c r="AG24" s="66" t="s">
        <v>623</v>
      </c>
      <c r="AH24" s="66" t="s">
        <v>623</v>
      </c>
      <c r="AI24" s="66" t="s">
        <v>623</v>
      </c>
      <c r="AJ24" s="66" t="s">
        <v>623</v>
      </c>
      <c r="AK24" s="66" t="s">
        <v>250</v>
      </c>
      <c r="AL24" s="66" t="s">
        <v>234</v>
      </c>
      <c r="AM24" s="67"/>
      <c r="AN24" s="66"/>
      <c r="AO24" s="66"/>
      <c r="AP24" s="66"/>
      <c r="AQ24" s="66"/>
      <c r="AR24" s="66"/>
      <c r="AS24" s="66" t="s">
        <v>613</v>
      </c>
      <c r="AT24" s="56">
        <v>43926</v>
      </c>
      <c r="AU24" s="66"/>
    </row>
    <row r="25" spans="1:47" s="22" customFormat="1" ht="12">
      <c r="A25" s="66"/>
      <c r="B25" s="72" t="s">
        <v>241</v>
      </c>
      <c r="C25" s="72" t="s">
        <v>538</v>
      </c>
      <c r="D25" s="64" t="s">
        <v>217</v>
      </c>
      <c r="E25" s="72" t="s">
        <v>309</v>
      </c>
      <c r="F25" s="66" t="s">
        <v>61</v>
      </c>
      <c r="G25" s="80">
        <v>61.45</v>
      </c>
      <c r="H25" s="80">
        <v>62.05</v>
      </c>
      <c r="I25" s="80"/>
      <c r="J25" s="76"/>
      <c r="K25" s="42"/>
      <c r="L25" s="66"/>
      <c r="M25" s="66"/>
      <c r="N25" s="42"/>
      <c r="O25" s="66"/>
      <c r="P25" s="66" t="s">
        <v>622</v>
      </c>
      <c r="Q25" s="66" t="s">
        <v>83</v>
      </c>
      <c r="R25" s="66" t="s">
        <v>623</v>
      </c>
      <c r="S25" s="66" t="s">
        <v>623</v>
      </c>
      <c r="T25" s="66" t="s">
        <v>623</v>
      </c>
      <c r="U25" s="66" t="s">
        <v>356</v>
      </c>
      <c r="V25" s="64" t="s">
        <v>623</v>
      </c>
      <c r="W25" s="64" t="s">
        <v>623</v>
      </c>
      <c r="X25" s="64" t="s">
        <v>623</v>
      </c>
      <c r="Y25" s="64" t="s">
        <v>623</v>
      </c>
      <c r="Z25" s="64" t="s">
        <v>623</v>
      </c>
      <c r="AA25" s="67" t="s">
        <v>623</v>
      </c>
      <c r="AB25" s="67" t="s">
        <v>623</v>
      </c>
      <c r="AC25" s="67" t="s">
        <v>623</v>
      </c>
      <c r="AD25" s="66" t="s">
        <v>623</v>
      </c>
      <c r="AE25" s="67" t="s">
        <v>623</v>
      </c>
      <c r="AF25" s="67" t="s">
        <v>623</v>
      </c>
      <c r="AG25" s="67" t="s">
        <v>623</v>
      </c>
      <c r="AH25" s="67" t="s">
        <v>623</v>
      </c>
      <c r="AI25" s="67" t="s">
        <v>623</v>
      </c>
      <c r="AJ25" s="66" t="s">
        <v>623</v>
      </c>
      <c r="AK25" s="66" t="s">
        <v>250</v>
      </c>
      <c r="AL25" s="66" t="s">
        <v>234</v>
      </c>
      <c r="AM25" s="67"/>
      <c r="AN25" s="66"/>
      <c r="AO25" s="66"/>
      <c r="AP25" s="66"/>
      <c r="AQ25" s="66" t="s">
        <v>619</v>
      </c>
      <c r="AR25" s="66"/>
      <c r="AS25" s="66" t="s">
        <v>613</v>
      </c>
      <c r="AT25" s="56">
        <v>43926</v>
      </c>
      <c r="AU25" s="66"/>
    </row>
    <row r="26" spans="1:47">
      <c r="A26" s="66"/>
      <c r="B26" s="72" t="s">
        <v>241</v>
      </c>
      <c r="C26" s="72" t="s">
        <v>538</v>
      </c>
      <c r="D26" s="64" t="s">
        <v>217</v>
      </c>
      <c r="E26" s="72" t="s">
        <v>309</v>
      </c>
      <c r="F26" s="66" t="s">
        <v>61</v>
      </c>
      <c r="G26" s="80">
        <v>62.05</v>
      </c>
      <c r="H26" s="80">
        <v>73.2</v>
      </c>
      <c r="I26" s="80"/>
      <c r="J26" s="76"/>
      <c r="K26" s="42"/>
      <c r="L26" s="66"/>
      <c r="M26" s="66"/>
      <c r="N26" s="42"/>
      <c r="O26" s="66"/>
      <c r="P26" s="66" t="s">
        <v>622</v>
      </c>
      <c r="Q26" s="66" t="s">
        <v>81</v>
      </c>
      <c r="R26" s="66" t="s">
        <v>623</v>
      </c>
      <c r="S26" s="66" t="s">
        <v>623</v>
      </c>
      <c r="T26" s="66" t="s">
        <v>623</v>
      </c>
      <c r="U26" s="66" t="s">
        <v>228</v>
      </c>
      <c r="V26" s="64" t="s">
        <v>623</v>
      </c>
      <c r="W26" s="64" t="s">
        <v>623</v>
      </c>
      <c r="X26" s="64" t="s">
        <v>623</v>
      </c>
      <c r="Y26" s="64" t="s">
        <v>623</v>
      </c>
      <c r="Z26" s="64" t="s">
        <v>623</v>
      </c>
      <c r="AA26" s="67" t="s">
        <v>623</v>
      </c>
      <c r="AB26" s="67" t="s">
        <v>623</v>
      </c>
      <c r="AC26" s="67" t="s">
        <v>623</v>
      </c>
      <c r="AD26" s="66" t="s">
        <v>623</v>
      </c>
      <c r="AE26" s="67" t="s">
        <v>623</v>
      </c>
      <c r="AF26" s="67" t="s">
        <v>623</v>
      </c>
      <c r="AG26" s="67" t="s">
        <v>623</v>
      </c>
      <c r="AH26" s="67" t="s">
        <v>623</v>
      </c>
      <c r="AI26" s="67" t="s">
        <v>623</v>
      </c>
      <c r="AJ26" s="66" t="s">
        <v>623</v>
      </c>
      <c r="AK26" s="66" t="s">
        <v>250</v>
      </c>
      <c r="AL26" s="66" t="s">
        <v>234</v>
      </c>
      <c r="AM26" s="67"/>
      <c r="AN26" s="66"/>
      <c r="AO26" s="66"/>
      <c r="AP26" s="66"/>
      <c r="AQ26" s="66"/>
      <c r="AR26" s="66"/>
      <c r="AS26" s="66" t="s">
        <v>613</v>
      </c>
      <c r="AT26" s="56">
        <v>43926</v>
      </c>
      <c r="AU26" s="66"/>
    </row>
    <row r="27" spans="1:47">
      <c r="A27" s="66"/>
      <c r="B27" s="72" t="s">
        <v>241</v>
      </c>
      <c r="C27" s="72" t="s">
        <v>538</v>
      </c>
      <c r="D27" s="64" t="s">
        <v>217</v>
      </c>
      <c r="E27" s="72" t="s">
        <v>309</v>
      </c>
      <c r="F27" s="66" t="s">
        <v>61</v>
      </c>
      <c r="G27" s="80">
        <v>73.2</v>
      </c>
      <c r="H27" s="80">
        <v>73.400000000000006</v>
      </c>
      <c r="I27" s="80"/>
      <c r="J27" s="76"/>
      <c r="K27" s="42"/>
      <c r="L27" s="66"/>
      <c r="M27" s="66"/>
      <c r="N27" s="42"/>
      <c r="O27" s="66"/>
      <c r="P27" s="66" t="s">
        <v>622</v>
      </c>
      <c r="Q27" s="66" t="s">
        <v>73</v>
      </c>
      <c r="R27" s="74" t="s">
        <v>62</v>
      </c>
      <c r="S27" s="66" t="s">
        <v>346</v>
      </c>
      <c r="T27" s="66" t="s">
        <v>623</v>
      </c>
      <c r="U27" s="66" t="s">
        <v>224</v>
      </c>
      <c r="V27" s="66" t="s">
        <v>623</v>
      </c>
      <c r="W27" s="66" t="s">
        <v>623</v>
      </c>
      <c r="X27" s="66" t="s">
        <v>623</v>
      </c>
      <c r="Y27" s="66" t="s">
        <v>623</v>
      </c>
      <c r="Z27" s="66" t="s">
        <v>623</v>
      </c>
      <c r="AA27" s="66" t="s">
        <v>623</v>
      </c>
      <c r="AB27" s="66" t="s">
        <v>623</v>
      </c>
      <c r="AC27" s="66" t="s">
        <v>623</v>
      </c>
      <c r="AD27" s="66" t="s">
        <v>623</v>
      </c>
      <c r="AE27" s="66" t="s">
        <v>623</v>
      </c>
      <c r="AF27" s="66" t="s">
        <v>623</v>
      </c>
      <c r="AG27" s="66" t="s">
        <v>623</v>
      </c>
      <c r="AH27" s="66" t="s">
        <v>623</v>
      </c>
      <c r="AI27" s="66" t="s">
        <v>623</v>
      </c>
      <c r="AJ27" s="66" t="s">
        <v>623</v>
      </c>
      <c r="AK27" s="66" t="s">
        <v>250</v>
      </c>
      <c r="AL27" s="66" t="s">
        <v>234</v>
      </c>
      <c r="AM27" s="74"/>
      <c r="AN27" s="66"/>
      <c r="AO27" s="66"/>
      <c r="AP27" s="66"/>
      <c r="AQ27" s="66"/>
      <c r="AR27" s="66"/>
      <c r="AS27" s="66" t="s">
        <v>613</v>
      </c>
      <c r="AT27" s="56">
        <v>43926</v>
      </c>
      <c r="AU27" s="66"/>
    </row>
    <row r="28" spans="1:47">
      <c r="A28" s="66"/>
      <c r="B28" s="72" t="s">
        <v>241</v>
      </c>
      <c r="C28" s="72" t="s">
        <v>538</v>
      </c>
      <c r="D28" s="64" t="s">
        <v>217</v>
      </c>
      <c r="E28" s="72" t="s">
        <v>309</v>
      </c>
      <c r="F28" s="66" t="s">
        <v>61</v>
      </c>
      <c r="G28" s="80">
        <v>73.400000000000006</v>
      </c>
      <c r="H28" s="54">
        <v>77</v>
      </c>
      <c r="I28" s="80"/>
      <c r="J28" s="76"/>
      <c r="K28" s="42"/>
      <c r="L28" s="66"/>
      <c r="M28" s="66"/>
      <c r="N28" s="42"/>
      <c r="O28" s="66"/>
      <c r="P28" s="66" t="s">
        <v>622</v>
      </c>
      <c r="Q28" s="66" t="s">
        <v>81</v>
      </c>
      <c r="R28" s="74" t="s">
        <v>472</v>
      </c>
      <c r="S28" s="66" t="s">
        <v>623</v>
      </c>
      <c r="T28" s="66" t="s">
        <v>623</v>
      </c>
      <c r="U28" s="66" t="s">
        <v>228</v>
      </c>
      <c r="V28" s="64" t="s">
        <v>623</v>
      </c>
      <c r="W28" s="64" t="s">
        <v>623</v>
      </c>
      <c r="X28" s="64" t="s">
        <v>623</v>
      </c>
      <c r="Y28" s="64" t="s">
        <v>623</v>
      </c>
      <c r="Z28" s="64" t="s">
        <v>623</v>
      </c>
      <c r="AA28" s="67" t="s">
        <v>623</v>
      </c>
      <c r="AB28" s="67" t="s">
        <v>623</v>
      </c>
      <c r="AC28" s="67" t="s">
        <v>623</v>
      </c>
      <c r="AD28" s="66" t="s">
        <v>623</v>
      </c>
      <c r="AE28" s="67" t="s">
        <v>623</v>
      </c>
      <c r="AF28" s="67" t="s">
        <v>623</v>
      </c>
      <c r="AG28" s="67" t="s">
        <v>623</v>
      </c>
      <c r="AH28" s="67" t="s">
        <v>623</v>
      </c>
      <c r="AI28" s="67" t="s">
        <v>623</v>
      </c>
      <c r="AJ28" s="66" t="s">
        <v>623</v>
      </c>
      <c r="AK28" s="66" t="s">
        <v>250</v>
      </c>
      <c r="AL28" s="66" t="s">
        <v>234</v>
      </c>
      <c r="AM28" s="74"/>
      <c r="AN28" s="66"/>
      <c r="AO28" s="66"/>
      <c r="AP28" s="66"/>
      <c r="AQ28" s="66"/>
      <c r="AR28" s="66"/>
      <c r="AS28" s="66" t="s">
        <v>613</v>
      </c>
      <c r="AT28" s="56">
        <v>43926</v>
      </c>
      <c r="AU28" s="66"/>
    </row>
    <row r="29" spans="1:47">
      <c r="A29" s="66"/>
      <c r="B29" s="72" t="s">
        <v>241</v>
      </c>
      <c r="C29" s="72" t="s">
        <v>538</v>
      </c>
      <c r="D29" s="64" t="s">
        <v>217</v>
      </c>
      <c r="E29" s="72" t="s">
        <v>309</v>
      </c>
      <c r="F29" s="66" t="s">
        <v>61</v>
      </c>
      <c r="G29" s="54">
        <v>77</v>
      </c>
      <c r="H29" s="80">
        <v>80.05</v>
      </c>
      <c r="I29" s="80"/>
      <c r="J29" s="76"/>
      <c r="K29" s="42"/>
      <c r="L29" s="66"/>
      <c r="M29" s="66"/>
      <c r="N29" s="42"/>
      <c r="O29" s="66"/>
      <c r="P29" s="66" t="s">
        <v>622</v>
      </c>
      <c r="Q29" s="66" t="s">
        <v>81</v>
      </c>
      <c r="R29" s="74" t="s">
        <v>623</v>
      </c>
      <c r="S29" s="66" t="s">
        <v>623</v>
      </c>
      <c r="T29" s="66" t="s">
        <v>623</v>
      </c>
      <c r="U29" s="66" t="s">
        <v>228</v>
      </c>
      <c r="V29" s="66" t="s">
        <v>623</v>
      </c>
      <c r="W29" s="66" t="s">
        <v>623</v>
      </c>
      <c r="X29" s="66" t="s">
        <v>623</v>
      </c>
      <c r="Y29" s="66" t="s">
        <v>623</v>
      </c>
      <c r="Z29" s="66" t="s">
        <v>623</v>
      </c>
      <c r="AA29" s="66" t="s">
        <v>623</v>
      </c>
      <c r="AB29" s="66" t="s">
        <v>623</v>
      </c>
      <c r="AC29" s="66" t="s">
        <v>623</v>
      </c>
      <c r="AD29" s="66" t="s">
        <v>623</v>
      </c>
      <c r="AE29" s="66" t="s">
        <v>623</v>
      </c>
      <c r="AF29" s="66" t="s">
        <v>623</v>
      </c>
      <c r="AG29" s="66" t="s">
        <v>623</v>
      </c>
      <c r="AH29" s="66" t="s">
        <v>623</v>
      </c>
      <c r="AI29" s="66" t="s">
        <v>623</v>
      </c>
      <c r="AJ29" s="66" t="s">
        <v>623</v>
      </c>
      <c r="AK29" s="66" t="s">
        <v>250</v>
      </c>
      <c r="AL29" s="66" t="s">
        <v>234</v>
      </c>
      <c r="AM29" s="74"/>
      <c r="AN29" s="66"/>
      <c r="AO29" s="66"/>
      <c r="AP29" s="66"/>
      <c r="AQ29" s="66"/>
      <c r="AR29" s="66"/>
      <c r="AS29" s="66" t="s">
        <v>613</v>
      </c>
      <c r="AT29" s="56">
        <v>43926</v>
      </c>
      <c r="AU29" s="66"/>
    </row>
    <row r="30" spans="1:47">
      <c r="A30" s="66"/>
      <c r="B30" s="72" t="s">
        <v>241</v>
      </c>
      <c r="C30" s="72" t="s">
        <v>538</v>
      </c>
      <c r="D30" s="64" t="s">
        <v>217</v>
      </c>
      <c r="E30" s="72" t="s">
        <v>309</v>
      </c>
      <c r="F30" s="66" t="s">
        <v>61</v>
      </c>
      <c r="G30" s="80">
        <v>80.05</v>
      </c>
      <c r="H30" s="80">
        <v>81.08</v>
      </c>
      <c r="I30" s="80"/>
      <c r="J30" s="76"/>
      <c r="K30" s="42"/>
      <c r="L30" s="66"/>
      <c r="M30" s="66"/>
      <c r="N30" s="42"/>
      <c r="O30" s="66"/>
      <c r="P30" s="66" t="s">
        <v>622</v>
      </c>
      <c r="Q30" s="66" t="s">
        <v>83</v>
      </c>
      <c r="R30" s="74" t="s">
        <v>623</v>
      </c>
      <c r="S30" s="66" t="s">
        <v>623</v>
      </c>
      <c r="T30" s="66" t="s">
        <v>623</v>
      </c>
      <c r="U30" s="66" t="s">
        <v>356</v>
      </c>
      <c r="V30" s="64" t="s">
        <v>623</v>
      </c>
      <c r="W30" s="64" t="s">
        <v>623</v>
      </c>
      <c r="X30" s="64" t="s">
        <v>623</v>
      </c>
      <c r="Y30" s="64" t="s">
        <v>623</v>
      </c>
      <c r="Z30" s="64" t="s">
        <v>623</v>
      </c>
      <c r="AA30" s="67" t="s">
        <v>623</v>
      </c>
      <c r="AB30" s="67" t="s">
        <v>623</v>
      </c>
      <c r="AC30" s="67" t="s">
        <v>623</v>
      </c>
      <c r="AD30" s="66" t="s">
        <v>623</v>
      </c>
      <c r="AE30" s="67" t="s">
        <v>623</v>
      </c>
      <c r="AF30" s="67" t="s">
        <v>623</v>
      </c>
      <c r="AG30" s="67" t="s">
        <v>623</v>
      </c>
      <c r="AH30" s="67" t="s">
        <v>623</v>
      </c>
      <c r="AI30" s="67" t="s">
        <v>623</v>
      </c>
      <c r="AJ30" s="66" t="s">
        <v>623</v>
      </c>
      <c r="AK30" s="66" t="s">
        <v>250</v>
      </c>
      <c r="AL30" s="66" t="s">
        <v>234</v>
      </c>
      <c r="AM30" s="74"/>
      <c r="AN30" s="66"/>
      <c r="AO30" s="66"/>
      <c r="AP30" s="66"/>
      <c r="AQ30" s="66" t="s">
        <v>620</v>
      </c>
      <c r="AR30" s="66"/>
      <c r="AS30" s="66" t="s">
        <v>613</v>
      </c>
      <c r="AT30" s="56">
        <v>43927</v>
      </c>
      <c r="AU30" s="66"/>
    </row>
    <row r="31" spans="1:47">
      <c r="A31" s="66"/>
      <c r="B31" s="72" t="s">
        <v>241</v>
      </c>
      <c r="C31" s="72" t="s">
        <v>538</v>
      </c>
      <c r="D31" s="64" t="s">
        <v>217</v>
      </c>
      <c r="E31" s="72" t="s">
        <v>309</v>
      </c>
      <c r="F31" s="66" t="s">
        <v>61</v>
      </c>
      <c r="G31" s="80">
        <v>81.08</v>
      </c>
      <c r="H31" s="80">
        <v>85.65</v>
      </c>
      <c r="I31" s="80"/>
      <c r="J31" s="76"/>
      <c r="K31" s="42"/>
      <c r="L31" s="66"/>
      <c r="M31" s="66"/>
      <c r="N31" s="42"/>
      <c r="O31" s="66"/>
      <c r="P31" s="66" t="s">
        <v>622</v>
      </c>
      <c r="Q31" s="66" t="s">
        <v>81</v>
      </c>
      <c r="R31" s="66" t="s">
        <v>623</v>
      </c>
      <c r="S31" s="66" t="s">
        <v>623</v>
      </c>
      <c r="T31" s="66" t="s">
        <v>623</v>
      </c>
      <c r="U31" s="66" t="s">
        <v>228</v>
      </c>
      <c r="V31" s="74" t="s">
        <v>623</v>
      </c>
      <c r="W31" s="74" t="s">
        <v>623</v>
      </c>
      <c r="X31" s="74" t="s">
        <v>623</v>
      </c>
      <c r="Y31" s="74" t="s">
        <v>623</v>
      </c>
      <c r="Z31" s="74" t="s">
        <v>623</v>
      </c>
      <c r="AA31" s="74" t="s">
        <v>623</v>
      </c>
      <c r="AB31" s="74" t="s">
        <v>623</v>
      </c>
      <c r="AC31" s="74" t="s">
        <v>623</v>
      </c>
      <c r="AD31" s="74" t="s">
        <v>623</v>
      </c>
      <c r="AE31" s="74" t="s">
        <v>623</v>
      </c>
      <c r="AF31" s="74" t="s">
        <v>623</v>
      </c>
      <c r="AG31" s="74" t="s">
        <v>623</v>
      </c>
      <c r="AH31" s="74" t="s">
        <v>623</v>
      </c>
      <c r="AI31" s="74" t="s">
        <v>623</v>
      </c>
      <c r="AJ31" s="74" t="s">
        <v>623</v>
      </c>
      <c r="AK31" s="66" t="s">
        <v>250</v>
      </c>
      <c r="AL31" s="66" t="s">
        <v>234</v>
      </c>
      <c r="AM31" s="74"/>
      <c r="AN31" s="66"/>
      <c r="AO31" s="66"/>
      <c r="AP31" s="66"/>
      <c r="AQ31" s="66"/>
      <c r="AR31" s="66"/>
      <c r="AS31" s="66" t="s">
        <v>613</v>
      </c>
      <c r="AT31" s="56">
        <v>43927</v>
      </c>
      <c r="AU31" s="66"/>
    </row>
    <row r="32" spans="1:47">
      <c r="A32" s="66"/>
      <c r="B32" s="72" t="s">
        <v>241</v>
      </c>
      <c r="C32" s="72" t="s">
        <v>538</v>
      </c>
      <c r="D32" s="64" t="s">
        <v>217</v>
      </c>
      <c r="E32" s="72" t="s">
        <v>309</v>
      </c>
      <c r="F32" s="66" t="s">
        <v>61</v>
      </c>
      <c r="G32" s="80">
        <v>85.65</v>
      </c>
      <c r="H32" s="80">
        <v>87.6</v>
      </c>
      <c r="I32" s="80"/>
      <c r="J32" s="76"/>
      <c r="K32" s="42"/>
      <c r="L32" s="66"/>
      <c r="M32" s="66"/>
      <c r="N32" s="42"/>
      <c r="O32" s="66"/>
      <c r="P32" s="66" t="s">
        <v>622</v>
      </c>
      <c r="Q32" s="66" t="s">
        <v>83</v>
      </c>
      <c r="R32" s="66" t="s">
        <v>623</v>
      </c>
      <c r="S32" s="66" t="s">
        <v>623</v>
      </c>
      <c r="T32" s="66" t="s">
        <v>623</v>
      </c>
      <c r="U32" s="66" t="s">
        <v>356</v>
      </c>
      <c r="V32" s="74" t="s">
        <v>623</v>
      </c>
      <c r="W32" s="74" t="s">
        <v>623</v>
      </c>
      <c r="X32" s="74" t="s">
        <v>623</v>
      </c>
      <c r="Y32" s="74" t="s">
        <v>623</v>
      </c>
      <c r="Z32" s="74" t="s">
        <v>623</v>
      </c>
      <c r="AA32" s="74" t="s">
        <v>623</v>
      </c>
      <c r="AB32" s="74" t="s">
        <v>623</v>
      </c>
      <c r="AC32" s="74" t="s">
        <v>623</v>
      </c>
      <c r="AD32" s="74" t="s">
        <v>623</v>
      </c>
      <c r="AE32" s="74" t="s">
        <v>623</v>
      </c>
      <c r="AF32" s="74" t="s">
        <v>623</v>
      </c>
      <c r="AG32" s="74" t="s">
        <v>623</v>
      </c>
      <c r="AH32" s="74" t="s">
        <v>623</v>
      </c>
      <c r="AI32" s="74" t="s">
        <v>623</v>
      </c>
      <c r="AJ32" s="74" t="s">
        <v>623</v>
      </c>
      <c r="AK32" s="66" t="s">
        <v>250</v>
      </c>
      <c r="AL32" s="66" t="s">
        <v>234</v>
      </c>
      <c r="AM32" s="74"/>
      <c r="AN32" s="66"/>
      <c r="AO32" s="66"/>
      <c r="AP32" s="66"/>
      <c r="AQ32" s="66" t="s">
        <v>621</v>
      </c>
      <c r="AR32" s="66"/>
      <c r="AS32" s="66" t="s">
        <v>613</v>
      </c>
      <c r="AT32" s="56">
        <v>43927</v>
      </c>
      <c r="AU32" s="66"/>
    </row>
    <row r="33" spans="1:47">
      <c r="A33" s="66"/>
      <c r="B33" s="72" t="s">
        <v>241</v>
      </c>
      <c r="C33" s="72" t="s">
        <v>538</v>
      </c>
      <c r="D33" s="64" t="s">
        <v>217</v>
      </c>
      <c r="E33" s="72" t="s">
        <v>309</v>
      </c>
      <c r="F33" s="66" t="s">
        <v>61</v>
      </c>
      <c r="G33" s="80">
        <v>87.6</v>
      </c>
      <c r="H33" s="80">
        <v>100</v>
      </c>
      <c r="I33" s="80"/>
      <c r="J33" s="76"/>
      <c r="K33" s="42"/>
      <c r="L33" s="66"/>
      <c r="M33" s="66"/>
      <c r="N33" s="42"/>
      <c r="O33" s="66"/>
      <c r="P33" s="66" t="s">
        <v>622</v>
      </c>
      <c r="Q33" s="66" t="s">
        <v>81</v>
      </c>
      <c r="R33" s="66" t="s">
        <v>623</v>
      </c>
      <c r="S33" s="66" t="s">
        <v>623</v>
      </c>
      <c r="T33" s="66" t="s">
        <v>623</v>
      </c>
      <c r="U33" s="66" t="s">
        <v>228</v>
      </c>
      <c r="V33" s="74" t="s">
        <v>623</v>
      </c>
      <c r="W33" s="74" t="s">
        <v>623</v>
      </c>
      <c r="X33" s="74" t="s">
        <v>623</v>
      </c>
      <c r="Y33" s="74" t="s">
        <v>623</v>
      </c>
      <c r="Z33" s="74" t="s">
        <v>623</v>
      </c>
      <c r="AA33" s="74" t="s">
        <v>623</v>
      </c>
      <c r="AB33" s="74" t="s">
        <v>623</v>
      </c>
      <c r="AC33" s="74" t="s">
        <v>623</v>
      </c>
      <c r="AD33" s="74" t="s">
        <v>623</v>
      </c>
      <c r="AE33" s="74" t="s">
        <v>623</v>
      </c>
      <c r="AF33" s="74" t="s">
        <v>623</v>
      </c>
      <c r="AG33" s="74" t="s">
        <v>623</v>
      </c>
      <c r="AH33" s="74" t="s">
        <v>623</v>
      </c>
      <c r="AI33" s="74" t="s">
        <v>623</v>
      </c>
      <c r="AJ33" s="74" t="s">
        <v>623</v>
      </c>
      <c r="AK33" s="66" t="s">
        <v>250</v>
      </c>
      <c r="AL33" s="66" t="s">
        <v>234</v>
      </c>
      <c r="AM33" s="74"/>
      <c r="AN33" s="66"/>
      <c r="AO33" s="66"/>
      <c r="AP33" s="66"/>
      <c r="AQ33" s="66"/>
      <c r="AR33" s="66"/>
      <c r="AS33" s="66" t="s">
        <v>613</v>
      </c>
      <c r="AT33" s="56">
        <v>43927</v>
      </c>
      <c r="AU33" s="66"/>
    </row>
    <row r="34" spans="1:47">
      <c r="A34" s="66"/>
      <c r="B34" s="72"/>
      <c r="C34" s="72"/>
      <c r="D34" s="72"/>
      <c r="E34" s="72"/>
      <c r="F34" s="66"/>
      <c r="G34" s="80"/>
      <c r="H34" s="80"/>
      <c r="I34" s="80"/>
      <c r="J34" s="66"/>
      <c r="K34" s="42"/>
      <c r="L34" s="66"/>
      <c r="M34" s="66"/>
      <c r="N34" s="42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66"/>
      <c r="AL34" s="66"/>
      <c r="AM34" s="74"/>
      <c r="AN34" s="66"/>
      <c r="AO34" s="66"/>
      <c r="AP34" s="66"/>
      <c r="AQ34" s="66"/>
      <c r="AR34" s="66"/>
      <c r="AS34" s="66"/>
      <c r="AT34" s="56"/>
      <c r="AU34" s="66"/>
    </row>
    <row r="35" spans="1:47">
      <c r="A35" s="81"/>
      <c r="B35" s="83"/>
      <c r="C35" s="83"/>
      <c r="D35" s="83"/>
      <c r="E35" s="82"/>
      <c r="F35" s="81"/>
      <c r="G35" s="84"/>
      <c r="H35" s="84"/>
      <c r="I35" s="85"/>
      <c r="J35" s="85"/>
      <c r="K35" s="90"/>
      <c r="L35" s="85"/>
      <c r="M35" s="85"/>
      <c r="N35" s="86"/>
      <c r="O35" s="85"/>
      <c r="P35" s="87"/>
      <c r="Q35" s="81"/>
      <c r="R35" s="85"/>
      <c r="S35" s="85"/>
      <c r="T35" s="85"/>
      <c r="U35" s="85"/>
      <c r="V35" s="81"/>
      <c r="W35" s="81"/>
      <c r="X35" s="81"/>
      <c r="Y35" s="81"/>
      <c r="Z35" s="81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8"/>
      <c r="AR35" s="85"/>
      <c r="AS35" s="85"/>
      <c r="AT35" s="89"/>
      <c r="AU35" s="85"/>
    </row>
    <row r="36" spans="1:47">
      <c r="A36" s="81"/>
      <c r="B36" s="83"/>
      <c r="C36" s="83"/>
      <c r="D36" s="83"/>
      <c r="E36" s="82"/>
      <c r="F36" s="81"/>
      <c r="G36" s="84"/>
      <c r="H36" s="84"/>
      <c r="I36" s="85"/>
      <c r="J36" s="85"/>
      <c r="K36" s="90"/>
      <c r="L36" s="85"/>
      <c r="M36" s="85"/>
      <c r="N36" s="86"/>
      <c r="O36" s="85"/>
      <c r="P36" s="87"/>
      <c r="Q36" s="81"/>
      <c r="R36" s="85"/>
      <c r="S36" s="85"/>
      <c r="T36" s="85"/>
      <c r="U36" s="85"/>
      <c r="V36" s="81"/>
      <c r="W36" s="81"/>
      <c r="X36" s="81"/>
      <c r="Y36" s="81"/>
      <c r="Z36" s="81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8"/>
      <c r="AR36" s="85"/>
      <c r="AS36" s="85"/>
      <c r="AT36" s="89"/>
      <c r="AU36" s="85"/>
    </row>
    <row r="37" spans="1:47">
      <c r="A37" s="81"/>
      <c r="B37" s="83"/>
      <c r="C37" s="83"/>
      <c r="D37" s="83"/>
      <c r="E37" s="82"/>
      <c r="F37" s="81"/>
      <c r="G37" s="84"/>
      <c r="H37" s="84"/>
      <c r="I37" s="85"/>
      <c r="J37" s="85"/>
      <c r="K37" s="90"/>
      <c r="L37" s="85"/>
      <c r="M37" s="85"/>
      <c r="N37" s="86"/>
      <c r="O37" s="85"/>
      <c r="P37" s="87"/>
      <c r="Q37" s="81"/>
      <c r="R37" s="85"/>
      <c r="S37" s="85"/>
      <c r="T37" s="85"/>
      <c r="U37" s="85"/>
      <c r="V37" s="81"/>
      <c r="W37" s="81"/>
      <c r="X37" s="81"/>
      <c r="Y37" s="81"/>
      <c r="Z37" s="81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8"/>
      <c r="AR37" s="85"/>
      <c r="AS37" s="85"/>
      <c r="AT37" s="89"/>
      <c r="AU37" s="85"/>
    </row>
    <row r="38" spans="1:47">
      <c r="A38" s="81"/>
      <c r="B38" s="83"/>
      <c r="C38" s="83"/>
      <c r="D38" s="83"/>
      <c r="E38" s="82"/>
      <c r="F38" s="81"/>
      <c r="G38" s="84"/>
      <c r="H38" s="84"/>
      <c r="I38" s="85"/>
      <c r="J38" s="85"/>
      <c r="K38" s="90"/>
      <c r="L38" s="85"/>
      <c r="M38" s="85"/>
      <c r="N38" s="86"/>
      <c r="O38" s="85"/>
      <c r="P38" s="87"/>
      <c r="Q38" s="81"/>
      <c r="R38" s="85"/>
      <c r="S38" s="85"/>
      <c r="T38" s="85"/>
      <c r="U38" s="85"/>
      <c r="V38" s="81"/>
      <c r="W38" s="81"/>
      <c r="X38" s="81"/>
      <c r="Y38" s="81"/>
      <c r="Z38" s="81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8"/>
      <c r="AR38" s="85"/>
      <c r="AS38" s="85"/>
      <c r="AT38" s="89"/>
      <c r="AU38" s="85"/>
    </row>
    <row r="39" spans="1:47">
      <c r="A39" s="81"/>
      <c r="B39" s="83"/>
      <c r="C39" s="83"/>
      <c r="D39" s="83"/>
      <c r="E39" s="82"/>
      <c r="F39" s="81"/>
      <c r="G39" s="84"/>
      <c r="H39" s="84"/>
      <c r="I39" s="91"/>
      <c r="J39" s="85"/>
      <c r="K39" s="90"/>
      <c r="L39" s="85"/>
      <c r="M39" s="85"/>
      <c r="N39" s="86"/>
      <c r="O39" s="85"/>
      <c r="P39" s="87"/>
      <c r="Q39" s="81"/>
      <c r="R39" s="85"/>
      <c r="S39" s="85"/>
      <c r="T39" s="85"/>
      <c r="U39" s="85"/>
      <c r="V39" s="81"/>
      <c r="W39" s="81"/>
      <c r="X39" s="81"/>
      <c r="Y39" s="81"/>
      <c r="Z39" s="81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8"/>
      <c r="AR39" s="85"/>
      <c r="AS39" s="85"/>
      <c r="AT39" s="89"/>
      <c r="AU39" s="85"/>
    </row>
    <row r="40" spans="1:47">
      <c r="A40" s="81"/>
      <c r="B40" s="83"/>
      <c r="C40" s="83"/>
      <c r="D40" s="83"/>
      <c r="E40" s="82"/>
      <c r="F40" s="81"/>
      <c r="G40" s="84"/>
      <c r="H40" s="84"/>
      <c r="I40" s="91"/>
      <c r="J40" s="85"/>
      <c r="K40" s="90"/>
      <c r="L40" s="85"/>
      <c r="M40" s="85"/>
      <c r="N40" s="86"/>
      <c r="O40" s="85"/>
      <c r="P40" s="87"/>
      <c r="Q40" s="81"/>
      <c r="R40" s="85"/>
      <c r="S40" s="85"/>
      <c r="T40" s="85"/>
      <c r="U40" s="85"/>
      <c r="V40" s="81"/>
      <c r="W40" s="81"/>
      <c r="X40" s="81"/>
      <c r="Y40" s="81"/>
      <c r="Z40" s="81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8"/>
      <c r="AR40" s="85"/>
      <c r="AS40" s="85"/>
      <c r="AT40" s="89"/>
      <c r="AU40" s="85"/>
    </row>
    <row r="41" spans="1:47">
      <c r="A41" s="81"/>
      <c r="B41" s="83"/>
      <c r="C41" s="83"/>
      <c r="D41" s="83"/>
      <c r="E41" s="82"/>
      <c r="F41" s="81"/>
      <c r="G41" s="84"/>
      <c r="H41" s="84"/>
      <c r="I41" s="91"/>
      <c r="J41" s="85"/>
      <c r="K41" s="90"/>
      <c r="L41" s="85"/>
      <c r="M41" s="85"/>
      <c r="N41" s="86"/>
      <c r="O41" s="85"/>
      <c r="P41" s="87"/>
      <c r="Q41" s="81"/>
      <c r="R41" s="85"/>
      <c r="S41" s="85"/>
      <c r="T41" s="85"/>
      <c r="U41" s="85"/>
      <c r="V41" s="81"/>
      <c r="W41" s="81"/>
      <c r="X41" s="81"/>
      <c r="Y41" s="81"/>
      <c r="Z41" s="81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8"/>
      <c r="AR41" s="85"/>
      <c r="AS41" s="85"/>
      <c r="AT41" s="89"/>
      <c r="AU41" s="85"/>
    </row>
    <row r="42" spans="1:47">
      <c r="A42" s="21"/>
      <c r="B42" s="18"/>
      <c r="C42" s="18"/>
      <c r="D42" s="18"/>
      <c r="E42" s="17"/>
      <c r="F42" s="17"/>
      <c r="I42" s="17"/>
      <c r="J42" s="17"/>
      <c r="K42" s="14"/>
      <c r="L42" s="17"/>
      <c r="M42" s="17"/>
      <c r="N42" s="16"/>
      <c r="O42" s="17"/>
      <c r="P42" s="17"/>
      <c r="Q42" s="22"/>
      <c r="R42" s="17"/>
      <c r="S42" s="17"/>
      <c r="T42" s="17"/>
      <c r="U42" s="17"/>
      <c r="V42" s="22"/>
      <c r="W42" s="22"/>
      <c r="X42" s="22"/>
      <c r="Y42" s="22"/>
      <c r="Z42" s="22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R42" s="17"/>
      <c r="AS42" s="17"/>
      <c r="AU42" s="17"/>
    </row>
    <row r="43" spans="1:47">
      <c r="A43" s="21"/>
      <c r="B43" s="18"/>
      <c r="C43" s="18"/>
      <c r="D43" s="18"/>
      <c r="E43" s="17"/>
      <c r="F43" s="17"/>
      <c r="I43" s="17"/>
      <c r="J43" s="17"/>
      <c r="K43" s="14"/>
      <c r="L43" s="17"/>
      <c r="M43" s="17"/>
      <c r="N43" s="16"/>
      <c r="O43" s="17"/>
      <c r="P43" s="17"/>
      <c r="Q43" s="22"/>
      <c r="R43" s="17"/>
      <c r="S43" s="17"/>
      <c r="T43" s="17"/>
      <c r="U43" s="17"/>
      <c r="V43" s="22"/>
      <c r="W43" s="22"/>
      <c r="X43" s="22"/>
      <c r="Y43" s="22"/>
      <c r="Z43" s="22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R43" s="17"/>
      <c r="AS43" s="17"/>
      <c r="AU43" s="17"/>
    </row>
    <row r="44" spans="1:47">
      <c r="A44" s="21"/>
      <c r="B44" s="18"/>
      <c r="C44" s="18"/>
      <c r="D44" s="18"/>
      <c r="E44" s="17"/>
      <c r="F44" s="17"/>
      <c r="I44" s="17"/>
      <c r="J44" s="17"/>
      <c r="K44" s="14"/>
      <c r="L44" s="17"/>
      <c r="M44" s="17"/>
      <c r="N44" s="16"/>
      <c r="O44" s="17"/>
      <c r="P44" s="17"/>
      <c r="Q44" s="22"/>
      <c r="R44" s="17"/>
      <c r="S44" s="17"/>
      <c r="T44" s="17"/>
      <c r="U44" s="17"/>
      <c r="V44" s="22"/>
      <c r="W44" s="22"/>
      <c r="X44" s="22"/>
      <c r="Y44" s="22"/>
      <c r="Z44" s="22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R44" s="17"/>
      <c r="AS44" s="17"/>
      <c r="AU44" s="17"/>
    </row>
    <row r="45" spans="1:47">
      <c r="A45" s="21"/>
      <c r="B45" s="18"/>
      <c r="C45" s="18"/>
      <c r="D45" s="18"/>
      <c r="E45" s="17"/>
      <c r="F45" s="17"/>
      <c r="I45" s="17"/>
      <c r="J45" s="17"/>
      <c r="K45" s="14"/>
      <c r="L45" s="17"/>
      <c r="M45" s="17"/>
      <c r="N45" s="16"/>
      <c r="O45" s="17"/>
      <c r="P45" s="17"/>
      <c r="Q45" s="22"/>
      <c r="R45" s="17"/>
      <c r="S45" s="17"/>
      <c r="T45" s="17"/>
      <c r="U45" s="17"/>
      <c r="V45" s="22"/>
      <c r="W45" s="22"/>
      <c r="X45" s="22"/>
      <c r="Y45" s="22"/>
      <c r="Z45" s="22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R45" s="17"/>
      <c r="AS45" s="17"/>
      <c r="AU45" s="17"/>
    </row>
    <row r="46" spans="1:47">
      <c r="A46" s="21"/>
      <c r="B46" s="18"/>
      <c r="C46" s="18"/>
      <c r="D46" s="18"/>
      <c r="E46" s="17"/>
      <c r="F46" s="17"/>
      <c r="I46" s="17"/>
      <c r="J46" s="17"/>
      <c r="K46" s="14"/>
      <c r="L46" s="17"/>
      <c r="M46" s="17"/>
      <c r="N46" s="16"/>
      <c r="O46" s="17"/>
      <c r="P46" s="17"/>
      <c r="Q46" s="22"/>
      <c r="R46" s="17"/>
      <c r="S46" s="17"/>
      <c r="T46" s="17"/>
      <c r="U46" s="17"/>
      <c r="V46" s="22"/>
      <c r="W46" s="22"/>
      <c r="X46" s="22"/>
      <c r="Y46" s="22"/>
      <c r="Z46" s="22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R46" s="17"/>
      <c r="AS46" s="17"/>
      <c r="AU46" s="17"/>
    </row>
    <row r="47" spans="1:47">
      <c r="A47" s="21"/>
      <c r="B47" s="18"/>
      <c r="C47" s="18"/>
      <c r="D47" s="18"/>
      <c r="E47" s="17"/>
      <c r="F47" s="17"/>
      <c r="I47" s="17"/>
      <c r="J47" s="17"/>
      <c r="K47" s="14"/>
      <c r="L47" s="17"/>
      <c r="M47" s="17"/>
      <c r="N47" s="16"/>
      <c r="O47" s="17"/>
      <c r="P47" s="17"/>
      <c r="Q47" s="22"/>
      <c r="R47" s="17"/>
      <c r="S47" s="17"/>
      <c r="T47" s="17"/>
      <c r="U47" s="17"/>
      <c r="V47" s="22"/>
      <c r="W47" s="22"/>
      <c r="X47" s="22"/>
      <c r="Y47" s="22"/>
      <c r="Z47" s="22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R47" s="17"/>
      <c r="AS47" s="17"/>
      <c r="AU47" s="17"/>
    </row>
    <row r="48" spans="1:47">
      <c r="A48" s="21"/>
      <c r="B48" s="18"/>
      <c r="C48" s="18"/>
      <c r="D48" s="18"/>
      <c r="E48" s="17"/>
      <c r="F48" s="17"/>
      <c r="I48" s="17"/>
      <c r="J48" s="17"/>
      <c r="K48" s="14"/>
      <c r="L48" s="17"/>
      <c r="M48" s="17"/>
      <c r="N48" s="16"/>
      <c r="O48" s="17"/>
      <c r="P48" s="17"/>
      <c r="Q48" s="22"/>
      <c r="R48" s="17"/>
      <c r="S48" s="17"/>
      <c r="T48" s="17"/>
      <c r="U48" s="17"/>
      <c r="V48" s="22"/>
      <c r="W48" s="22"/>
      <c r="X48" s="22"/>
      <c r="Y48" s="22"/>
      <c r="Z48" s="22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R48" s="17"/>
      <c r="AS48" s="17"/>
      <c r="AU48" s="17"/>
    </row>
    <row r="49" spans="1:47">
      <c r="A49" s="21"/>
      <c r="B49" s="18"/>
      <c r="C49" s="18"/>
      <c r="D49" s="18"/>
      <c r="E49" s="17"/>
      <c r="F49" s="17"/>
      <c r="I49" s="17"/>
      <c r="J49" s="17"/>
      <c r="K49" s="14"/>
      <c r="L49" s="17"/>
      <c r="M49" s="17"/>
      <c r="N49" s="16"/>
      <c r="O49" s="17"/>
      <c r="P49" s="17"/>
      <c r="Q49" s="22"/>
      <c r="R49" s="17"/>
      <c r="S49" s="17"/>
      <c r="T49" s="17"/>
      <c r="U49" s="17"/>
      <c r="V49" s="22"/>
      <c r="W49" s="22"/>
      <c r="X49" s="22"/>
      <c r="Y49" s="22"/>
      <c r="Z49" s="22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R49" s="17"/>
      <c r="AS49" s="17"/>
      <c r="AU49" s="17"/>
    </row>
    <row r="50" spans="1:47">
      <c r="A50" s="21"/>
      <c r="B50" s="18"/>
      <c r="C50" s="18"/>
      <c r="D50" s="18"/>
      <c r="E50" s="17"/>
      <c r="F50" s="17"/>
      <c r="I50" s="17"/>
      <c r="J50" s="17"/>
      <c r="K50" s="14"/>
      <c r="L50" s="17"/>
      <c r="M50" s="17"/>
      <c r="N50" s="16"/>
      <c r="O50" s="17"/>
      <c r="P50" s="17"/>
      <c r="Q50" s="22"/>
      <c r="R50" s="17"/>
      <c r="S50" s="17"/>
      <c r="T50" s="17"/>
      <c r="U50" s="17"/>
      <c r="V50" s="22"/>
      <c r="W50" s="22"/>
      <c r="X50" s="22"/>
      <c r="Y50" s="22"/>
      <c r="Z50" s="22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R50" s="17"/>
      <c r="AS50" s="17"/>
      <c r="AU50" s="17"/>
    </row>
    <row r="51" spans="1:47">
      <c r="A51" s="21"/>
      <c r="B51" s="18"/>
      <c r="C51" s="18"/>
      <c r="D51" s="18"/>
      <c r="E51" s="17"/>
      <c r="F51" s="17"/>
      <c r="I51" s="17"/>
      <c r="J51" s="17"/>
      <c r="K51" s="14"/>
      <c r="L51" s="17"/>
      <c r="M51" s="17"/>
      <c r="N51" s="16"/>
      <c r="O51" s="17"/>
      <c r="P51" s="17"/>
      <c r="Q51" s="22"/>
      <c r="R51" s="17"/>
      <c r="S51" s="17"/>
      <c r="T51" s="17"/>
      <c r="U51" s="17"/>
      <c r="V51" s="22"/>
      <c r="W51" s="22"/>
      <c r="X51" s="22"/>
      <c r="Y51" s="22"/>
      <c r="Z51" s="22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R51" s="17"/>
      <c r="AS51" s="17"/>
      <c r="AU51" s="17"/>
    </row>
    <row r="52" spans="1:47">
      <c r="A52" s="21"/>
      <c r="B52" s="18"/>
      <c r="C52" s="18"/>
      <c r="D52" s="18"/>
      <c r="E52" s="17"/>
      <c r="F52" s="17"/>
      <c r="I52" s="17"/>
      <c r="J52" s="17"/>
      <c r="K52" s="14"/>
      <c r="L52" s="17"/>
      <c r="M52" s="17"/>
      <c r="N52" s="16"/>
      <c r="O52" s="17"/>
      <c r="P52" s="17"/>
      <c r="Q52" s="22"/>
      <c r="R52" s="17"/>
      <c r="S52" s="17"/>
      <c r="T52" s="17"/>
      <c r="U52" s="17"/>
      <c r="V52" s="22"/>
      <c r="W52" s="22"/>
      <c r="X52" s="22"/>
      <c r="Y52" s="22"/>
      <c r="Z52" s="22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R52" s="17"/>
      <c r="AS52" s="17"/>
      <c r="AU52" s="17"/>
    </row>
    <row r="53" spans="1:47">
      <c r="A53" s="21"/>
      <c r="B53" s="18"/>
      <c r="C53" s="18"/>
      <c r="D53" s="18"/>
      <c r="E53" s="17"/>
      <c r="F53" s="17"/>
      <c r="I53" s="17"/>
      <c r="J53" s="17"/>
      <c r="K53" s="14"/>
      <c r="L53" s="17"/>
      <c r="M53" s="17"/>
      <c r="N53" s="16"/>
      <c r="O53" s="17"/>
      <c r="P53" s="17"/>
      <c r="Q53" s="22"/>
      <c r="R53" s="17"/>
      <c r="S53" s="17"/>
      <c r="T53" s="17"/>
      <c r="U53" s="17"/>
      <c r="V53" s="22"/>
      <c r="W53" s="22"/>
      <c r="X53" s="22"/>
      <c r="Y53" s="22"/>
      <c r="Z53" s="22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R53" s="17"/>
      <c r="AS53" s="17"/>
      <c r="AU53" s="17"/>
    </row>
    <row r="54" spans="1:47">
      <c r="A54" s="21"/>
      <c r="B54" s="18"/>
      <c r="C54" s="18"/>
      <c r="D54" s="18"/>
      <c r="E54" s="17"/>
      <c r="F54" s="17"/>
      <c r="I54" s="17"/>
      <c r="J54" s="17"/>
      <c r="K54" s="14"/>
      <c r="L54" s="17"/>
      <c r="M54" s="17"/>
      <c r="N54" s="16"/>
      <c r="O54" s="17"/>
      <c r="P54" s="17"/>
      <c r="Q54" s="22"/>
      <c r="R54" s="17"/>
      <c r="S54" s="17"/>
      <c r="T54" s="17"/>
      <c r="U54" s="17"/>
      <c r="V54" s="22"/>
      <c r="W54" s="22"/>
      <c r="X54" s="22"/>
      <c r="Y54" s="22"/>
      <c r="Z54" s="22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R54" s="17"/>
      <c r="AS54" s="17"/>
      <c r="AU54" s="17"/>
    </row>
    <row r="55" spans="1:47">
      <c r="A55" s="21"/>
      <c r="B55" s="18"/>
      <c r="C55" s="18"/>
      <c r="D55" s="18"/>
      <c r="E55" s="17"/>
      <c r="F55" s="17"/>
      <c r="I55" s="17"/>
      <c r="J55" s="17"/>
      <c r="K55" s="14"/>
      <c r="L55" s="17"/>
      <c r="M55" s="17"/>
      <c r="N55" s="16"/>
      <c r="O55" s="17"/>
      <c r="P55" s="17"/>
      <c r="Q55" s="22"/>
      <c r="R55" s="17"/>
      <c r="S55" s="17"/>
      <c r="T55" s="17"/>
      <c r="U55" s="17"/>
      <c r="V55" s="22"/>
      <c r="W55" s="22"/>
      <c r="X55" s="22"/>
      <c r="Y55" s="22"/>
      <c r="Z55" s="22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R55" s="17"/>
      <c r="AS55" s="17"/>
      <c r="AU55" s="17"/>
    </row>
    <row r="56" spans="1:47">
      <c r="A56" s="21"/>
      <c r="B56" s="18"/>
      <c r="C56" s="18"/>
      <c r="D56" s="18"/>
      <c r="E56" s="17"/>
      <c r="F56" s="17"/>
      <c r="I56" s="17"/>
      <c r="J56" s="17"/>
      <c r="K56" s="14"/>
      <c r="L56" s="17"/>
      <c r="M56" s="17"/>
      <c r="N56" s="16"/>
      <c r="O56" s="17"/>
      <c r="P56" s="17"/>
      <c r="Q56" s="22"/>
      <c r="R56" s="17"/>
      <c r="S56" s="17"/>
      <c r="T56" s="17"/>
      <c r="U56" s="17"/>
      <c r="V56" s="22"/>
      <c r="W56" s="22"/>
      <c r="X56" s="22"/>
      <c r="Y56" s="22"/>
      <c r="Z56" s="22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R56" s="17"/>
      <c r="AS56" s="17"/>
      <c r="AU56" s="17"/>
    </row>
    <row r="57" spans="1:47">
      <c r="A57" s="21"/>
      <c r="B57" s="18"/>
      <c r="C57" s="18"/>
      <c r="D57" s="18"/>
      <c r="E57" s="17"/>
      <c r="F57" s="17"/>
      <c r="I57" s="17"/>
      <c r="J57" s="17"/>
      <c r="K57" s="14"/>
      <c r="L57" s="17"/>
      <c r="M57" s="17"/>
      <c r="N57" s="16"/>
      <c r="O57" s="17"/>
      <c r="P57" s="17"/>
      <c r="Q57" s="22"/>
      <c r="R57" s="17"/>
      <c r="S57" s="17"/>
      <c r="T57" s="17"/>
      <c r="U57" s="17"/>
      <c r="V57" s="22"/>
      <c r="W57" s="22"/>
      <c r="X57" s="22"/>
      <c r="Y57" s="22"/>
      <c r="Z57" s="22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R57" s="17"/>
      <c r="AS57" s="17"/>
      <c r="AU57" s="17"/>
    </row>
    <row r="58" spans="1:47">
      <c r="A58" s="21"/>
      <c r="B58" s="18"/>
      <c r="C58" s="18"/>
      <c r="D58" s="18"/>
      <c r="E58" s="17"/>
      <c r="F58" s="17"/>
      <c r="I58" s="17"/>
      <c r="J58" s="17"/>
      <c r="K58" s="14"/>
      <c r="L58" s="17"/>
      <c r="M58" s="17"/>
      <c r="N58" s="16"/>
      <c r="O58" s="17"/>
      <c r="P58" s="17"/>
      <c r="Q58" s="22"/>
      <c r="R58" s="17"/>
      <c r="S58" s="17"/>
      <c r="T58" s="17"/>
      <c r="U58" s="17"/>
      <c r="V58" s="22"/>
      <c r="W58" s="22"/>
      <c r="X58" s="22"/>
      <c r="Y58" s="22"/>
      <c r="Z58" s="22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R58" s="17"/>
      <c r="AS58" s="17"/>
      <c r="AU58" s="17"/>
    </row>
    <row r="59" spans="1:47">
      <c r="A59" s="21"/>
      <c r="B59" s="18"/>
      <c r="C59" s="18"/>
      <c r="D59" s="18"/>
      <c r="E59" s="17"/>
      <c r="F59" s="17"/>
      <c r="I59" s="17"/>
      <c r="J59" s="17"/>
      <c r="K59" s="14"/>
      <c r="L59" s="17"/>
      <c r="M59" s="17"/>
      <c r="N59" s="16"/>
      <c r="O59" s="17"/>
      <c r="P59" s="17"/>
      <c r="Q59" s="22"/>
      <c r="R59" s="17"/>
      <c r="S59" s="17"/>
      <c r="T59" s="17"/>
      <c r="U59" s="17"/>
      <c r="V59" s="22"/>
      <c r="W59" s="22"/>
      <c r="X59" s="22"/>
      <c r="Y59" s="22"/>
      <c r="Z59" s="22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R59" s="17"/>
      <c r="AS59" s="17"/>
      <c r="AU59" s="17"/>
    </row>
    <row r="60" spans="1:47">
      <c r="A60" s="21"/>
      <c r="B60" s="18"/>
      <c r="C60" s="18"/>
      <c r="D60" s="18"/>
      <c r="E60" s="17"/>
      <c r="F60" s="17"/>
      <c r="I60" s="17"/>
      <c r="J60" s="17"/>
      <c r="K60" s="14"/>
      <c r="L60" s="17"/>
      <c r="M60" s="17"/>
      <c r="N60" s="16"/>
      <c r="O60" s="17"/>
      <c r="P60" s="17"/>
      <c r="Q60" s="22"/>
      <c r="R60" s="17"/>
      <c r="S60" s="17"/>
      <c r="T60" s="17"/>
      <c r="U60" s="17"/>
      <c r="V60" s="22"/>
      <c r="W60" s="22"/>
      <c r="X60" s="22"/>
      <c r="Y60" s="22"/>
      <c r="Z60" s="22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R60" s="17"/>
      <c r="AS60" s="17"/>
      <c r="AU60" s="17"/>
    </row>
    <row r="61" spans="1:47">
      <c r="A61" s="21"/>
      <c r="B61" s="18"/>
      <c r="C61" s="18"/>
      <c r="D61" s="18"/>
      <c r="E61" s="17"/>
      <c r="F61" s="17"/>
      <c r="I61" s="17"/>
      <c r="J61" s="17"/>
      <c r="K61" s="14"/>
      <c r="L61" s="17"/>
      <c r="M61" s="17"/>
      <c r="N61" s="16"/>
      <c r="O61" s="17"/>
      <c r="P61" s="17"/>
      <c r="Q61" s="22"/>
      <c r="R61" s="17"/>
      <c r="S61" s="17"/>
      <c r="T61" s="17"/>
      <c r="U61" s="17"/>
      <c r="V61" s="22"/>
      <c r="W61" s="22"/>
      <c r="X61" s="22"/>
      <c r="Y61" s="22"/>
      <c r="Z61" s="22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R61" s="17"/>
      <c r="AS61" s="17"/>
      <c r="AU61" s="17"/>
    </row>
    <row r="62" spans="1:47">
      <c r="A62" s="21"/>
      <c r="B62" s="18"/>
      <c r="C62" s="18"/>
      <c r="D62" s="18"/>
      <c r="E62" s="17"/>
      <c r="F62" s="17"/>
      <c r="I62" s="17"/>
      <c r="J62" s="17"/>
      <c r="K62" s="14"/>
      <c r="L62" s="17"/>
      <c r="M62" s="17"/>
      <c r="N62" s="16"/>
      <c r="O62" s="17"/>
      <c r="P62" s="17"/>
      <c r="Q62" s="22"/>
      <c r="R62" s="17"/>
      <c r="S62" s="17"/>
      <c r="T62" s="17"/>
      <c r="U62" s="17"/>
      <c r="V62" s="22"/>
      <c r="W62" s="22"/>
      <c r="X62" s="22"/>
      <c r="Y62" s="22"/>
      <c r="Z62" s="22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R62" s="17"/>
      <c r="AS62" s="17"/>
      <c r="AU62" s="17"/>
    </row>
    <row r="63" spans="1:47">
      <c r="A63" s="21"/>
      <c r="B63" s="18"/>
      <c r="C63" s="18"/>
      <c r="D63" s="18"/>
      <c r="E63" s="17"/>
      <c r="F63" s="17"/>
      <c r="I63" s="17"/>
      <c r="J63" s="17"/>
      <c r="K63" s="14"/>
      <c r="L63" s="17"/>
      <c r="M63" s="17"/>
      <c r="N63" s="16"/>
      <c r="O63" s="17"/>
      <c r="P63" s="17"/>
      <c r="Q63" s="22"/>
      <c r="R63" s="17"/>
      <c r="S63" s="17"/>
      <c r="T63" s="17"/>
      <c r="U63" s="17"/>
      <c r="V63" s="22"/>
      <c r="W63" s="22"/>
      <c r="X63" s="22"/>
      <c r="Y63" s="22"/>
      <c r="Z63" s="22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R63" s="17"/>
      <c r="AS63" s="17"/>
      <c r="AU63" s="17"/>
    </row>
    <row r="64" spans="1:47">
      <c r="A64" s="21"/>
      <c r="B64" s="18"/>
      <c r="C64" s="18"/>
      <c r="D64" s="18"/>
      <c r="E64" s="17"/>
      <c r="F64" s="17"/>
      <c r="I64" s="17"/>
      <c r="J64" s="17"/>
      <c r="K64" s="14"/>
      <c r="L64" s="17"/>
      <c r="M64" s="17"/>
      <c r="N64" s="16"/>
      <c r="O64" s="17"/>
      <c r="P64" s="17"/>
      <c r="Q64" s="22"/>
      <c r="R64" s="17"/>
      <c r="S64" s="17"/>
      <c r="T64" s="17"/>
      <c r="U64" s="17"/>
      <c r="V64" s="22"/>
      <c r="W64" s="22"/>
      <c r="X64" s="22"/>
      <c r="Y64" s="22"/>
      <c r="Z64" s="22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R64" s="17"/>
      <c r="AS64" s="17"/>
      <c r="AU64" s="17"/>
    </row>
    <row r="65" spans="1:47">
      <c r="A65" s="21"/>
      <c r="B65" s="18"/>
      <c r="C65" s="18"/>
      <c r="D65" s="18"/>
      <c r="E65" s="17"/>
      <c r="F65" s="17"/>
      <c r="I65" s="17"/>
      <c r="J65" s="17"/>
      <c r="K65" s="14"/>
      <c r="L65" s="17"/>
      <c r="M65" s="17"/>
      <c r="N65" s="16"/>
      <c r="O65" s="17"/>
      <c r="P65" s="17"/>
      <c r="Q65" s="22"/>
      <c r="R65" s="17"/>
      <c r="S65" s="17"/>
      <c r="T65" s="17"/>
      <c r="U65" s="17"/>
      <c r="V65" s="22"/>
      <c r="W65" s="22"/>
      <c r="X65" s="22"/>
      <c r="Y65" s="22"/>
      <c r="Z65" s="22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R65" s="17"/>
      <c r="AS65" s="17"/>
      <c r="AU65" s="17"/>
    </row>
    <row r="66" spans="1:47">
      <c r="A66" s="21"/>
      <c r="B66" s="18"/>
      <c r="C66" s="18"/>
      <c r="D66" s="18"/>
      <c r="E66" s="17"/>
      <c r="F66" s="17"/>
      <c r="I66" s="17"/>
      <c r="J66" s="17"/>
      <c r="K66" s="14"/>
      <c r="L66" s="17"/>
      <c r="M66" s="17"/>
      <c r="N66" s="16"/>
      <c r="O66" s="17"/>
      <c r="P66" s="17"/>
      <c r="Q66" s="22"/>
      <c r="R66" s="17"/>
      <c r="S66" s="17"/>
      <c r="T66" s="17"/>
      <c r="U66" s="17"/>
      <c r="V66" s="22"/>
      <c r="W66" s="22"/>
      <c r="X66" s="22"/>
      <c r="Y66" s="22"/>
      <c r="Z66" s="22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R66" s="17"/>
      <c r="AS66" s="17"/>
      <c r="AU66" s="17"/>
    </row>
    <row r="67" spans="1:47">
      <c r="A67" s="21"/>
      <c r="B67" s="18"/>
      <c r="C67" s="18"/>
      <c r="D67" s="18"/>
      <c r="E67" s="17"/>
      <c r="F67" s="17"/>
      <c r="I67" s="17"/>
      <c r="J67" s="17"/>
      <c r="K67" s="14"/>
      <c r="L67" s="17"/>
      <c r="M67" s="17"/>
      <c r="N67" s="16"/>
      <c r="O67" s="17"/>
      <c r="P67" s="17"/>
      <c r="Q67" s="22"/>
      <c r="R67" s="17"/>
      <c r="S67" s="17"/>
      <c r="T67" s="17"/>
      <c r="U67" s="17"/>
      <c r="V67" s="22"/>
      <c r="W67" s="22"/>
      <c r="X67" s="22"/>
      <c r="Y67" s="22"/>
      <c r="Z67" s="22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R67" s="17"/>
      <c r="AS67" s="17"/>
      <c r="AU67" s="17"/>
    </row>
    <row r="68" spans="1:47">
      <c r="A68" s="21"/>
      <c r="B68" s="18"/>
      <c r="C68" s="18"/>
      <c r="D68" s="18"/>
      <c r="E68" s="17"/>
      <c r="F68" s="17"/>
      <c r="I68" s="17"/>
      <c r="J68" s="17"/>
      <c r="K68" s="14"/>
      <c r="L68" s="17"/>
      <c r="M68" s="17"/>
      <c r="N68" s="16"/>
      <c r="O68" s="17"/>
      <c r="P68" s="17"/>
      <c r="Q68" s="22"/>
      <c r="R68" s="17"/>
      <c r="S68" s="17"/>
      <c r="T68" s="17"/>
      <c r="U68" s="17"/>
      <c r="V68" s="22"/>
      <c r="W68" s="22"/>
      <c r="X68" s="22"/>
      <c r="Y68" s="22"/>
      <c r="Z68" s="22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R68" s="17"/>
      <c r="AS68" s="17"/>
      <c r="AU68" s="17"/>
    </row>
    <row r="69" spans="1:47">
      <c r="A69" s="21"/>
      <c r="B69" s="18"/>
      <c r="C69" s="18"/>
      <c r="D69" s="18"/>
      <c r="E69" s="17"/>
      <c r="F69" s="17"/>
      <c r="I69" s="17"/>
      <c r="J69" s="17"/>
      <c r="K69" s="14"/>
      <c r="L69" s="17"/>
      <c r="M69" s="17"/>
      <c r="N69" s="16"/>
      <c r="O69" s="17"/>
      <c r="P69" s="17"/>
      <c r="Q69" s="22"/>
      <c r="R69" s="17"/>
      <c r="S69" s="17"/>
      <c r="T69" s="17"/>
      <c r="U69" s="17"/>
      <c r="V69" s="22"/>
      <c r="W69" s="22"/>
      <c r="X69" s="22"/>
      <c r="Y69" s="22"/>
      <c r="Z69" s="22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R69" s="17"/>
      <c r="AS69" s="17"/>
      <c r="AU69" s="17"/>
    </row>
    <row r="70" spans="1:47">
      <c r="A70" s="21"/>
      <c r="B70" s="18"/>
      <c r="C70" s="18"/>
      <c r="D70" s="18"/>
      <c r="E70" s="17"/>
      <c r="F70" s="17"/>
      <c r="I70" s="17"/>
      <c r="J70" s="17"/>
      <c r="K70" s="14"/>
      <c r="L70" s="17"/>
      <c r="M70" s="17"/>
      <c r="N70" s="16"/>
      <c r="O70" s="17"/>
      <c r="P70" s="17"/>
      <c r="Q70" s="22"/>
      <c r="R70" s="17"/>
      <c r="S70" s="17"/>
      <c r="T70" s="17"/>
      <c r="U70" s="17"/>
      <c r="V70" s="22"/>
      <c r="W70" s="22"/>
      <c r="X70" s="22"/>
      <c r="Y70" s="22"/>
      <c r="Z70" s="22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R70" s="17"/>
      <c r="AS70" s="17"/>
      <c r="AU70" s="17"/>
    </row>
    <row r="71" spans="1:47">
      <c r="A71" s="21"/>
      <c r="B71" s="18"/>
      <c r="C71" s="18"/>
      <c r="D71" s="18"/>
      <c r="E71" s="17"/>
      <c r="F71" s="17"/>
      <c r="I71" s="17"/>
      <c r="J71" s="17"/>
      <c r="K71" s="14"/>
      <c r="L71" s="17"/>
      <c r="M71" s="17"/>
      <c r="N71" s="16"/>
      <c r="O71" s="17"/>
      <c r="P71" s="17"/>
      <c r="Q71" s="22"/>
      <c r="R71" s="17"/>
      <c r="S71" s="17"/>
      <c r="T71" s="17"/>
      <c r="U71" s="17"/>
      <c r="V71" s="22"/>
      <c r="W71" s="22"/>
      <c r="X71" s="22"/>
      <c r="Y71" s="22"/>
      <c r="Z71" s="22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R71" s="17"/>
      <c r="AS71" s="17"/>
      <c r="AU71" s="17"/>
    </row>
    <row r="72" spans="1:47">
      <c r="A72" s="21"/>
      <c r="B72" s="18"/>
      <c r="C72" s="18"/>
      <c r="D72" s="18"/>
      <c r="E72" s="17"/>
      <c r="F72" s="17"/>
      <c r="I72" s="17"/>
      <c r="J72" s="17"/>
      <c r="K72" s="14"/>
      <c r="L72" s="17"/>
      <c r="M72" s="17"/>
      <c r="N72" s="16"/>
      <c r="O72" s="17"/>
      <c r="P72" s="17"/>
      <c r="Q72" s="22"/>
      <c r="R72" s="17"/>
      <c r="S72" s="17"/>
      <c r="T72" s="17"/>
      <c r="U72" s="17"/>
      <c r="V72" s="22"/>
      <c r="W72" s="22"/>
      <c r="X72" s="22"/>
      <c r="Y72" s="22"/>
      <c r="Z72" s="22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R72" s="17"/>
      <c r="AS72" s="17"/>
      <c r="AU72" s="17"/>
    </row>
    <row r="73" spans="1:47">
      <c r="A73" s="21"/>
      <c r="B73" s="18"/>
      <c r="C73" s="18"/>
      <c r="D73" s="18"/>
      <c r="E73" s="17"/>
      <c r="F73" s="17"/>
      <c r="I73" s="17"/>
      <c r="J73" s="17"/>
      <c r="K73" s="14"/>
      <c r="L73" s="17"/>
      <c r="M73" s="17"/>
      <c r="N73" s="16"/>
      <c r="O73" s="17"/>
      <c r="P73" s="17"/>
      <c r="Q73" s="22"/>
      <c r="R73" s="17"/>
      <c r="S73" s="17"/>
      <c r="T73" s="17"/>
      <c r="U73" s="17"/>
      <c r="V73" s="22"/>
      <c r="W73" s="22"/>
      <c r="X73" s="22"/>
      <c r="Y73" s="22"/>
      <c r="Z73" s="22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R73" s="17"/>
      <c r="AS73" s="17"/>
      <c r="AU73" s="17"/>
    </row>
    <row r="74" spans="1:47">
      <c r="A74" s="21"/>
      <c r="B74" s="18"/>
      <c r="C74" s="18"/>
      <c r="D74" s="18"/>
      <c r="E74" s="17"/>
      <c r="F74" s="17"/>
      <c r="I74" s="17"/>
      <c r="J74" s="17"/>
      <c r="K74" s="14"/>
      <c r="L74" s="17"/>
      <c r="M74" s="17"/>
      <c r="N74" s="16"/>
      <c r="O74" s="17"/>
      <c r="P74" s="17"/>
      <c r="Q74" s="22"/>
      <c r="R74" s="17"/>
      <c r="S74" s="17"/>
      <c r="T74" s="17"/>
      <c r="U74" s="17"/>
      <c r="V74" s="22"/>
      <c r="W74" s="22"/>
      <c r="X74" s="22"/>
      <c r="Y74" s="22"/>
      <c r="Z74" s="22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R74" s="17"/>
      <c r="AS74" s="17"/>
      <c r="AU74" s="17"/>
    </row>
    <row r="75" spans="1:47">
      <c r="A75" s="21"/>
      <c r="B75" s="18"/>
      <c r="C75" s="18"/>
      <c r="D75" s="18"/>
      <c r="E75" s="17"/>
      <c r="F75" s="17"/>
      <c r="I75" s="17"/>
      <c r="J75" s="17"/>
      <c r="K75" s="14"/>
      <c r="L75" s="17"/>
      <c r="M75" s="17"/>
      <c r="N75" s="16"/>
      <c r="O75" s="17"/>
      <c r="P75" s="17"/>
      <c r="Q75" s="22"/>
      <c r="R75" s="17"/>
      <c r="S75" s="17"/>
      <c r="T75" s="17"/>
      <c r="U75" s="17"/>
      <c r="V75" s="22"/>
      <c r="W75" s="22"/>
      <c r="X75" s="22"/>
      <c r="Y75" s="22"/>
      <c r="Z75" s="22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R75" s="17"/>
      <c r="AS75" s="17"/>
      <c r="AU75" s="17"/>
    </row>
    <row r="76" spans="1:47">
      <c r="A76" s="21"/>
      <c r="B76" s="18"/>
      <c r="C76" s="18"/>
      <c r="D76" s="18"/>
      <c r="E76" s="17"/>
      <c r="F76" s="17"/>
      <c r="I76" s="17"/>
      <c r="J76" s="17"/>
      <c r="K76" s="14"/>
      <c r="L76" s="17"/>
      <c r="M76" s="17"/>
      <c r="N76" s="16"/>
      <c r="O76" s="17"/>
      <c r="P76" s="17"/>
      <c r="Q76" s="22"/>
      <c r="R76" s="17"/>
      <c r="S76" s="17"/>
      <c r="T76" s="17"/>
      <c r="U76" s="17"/>
      <c r="V76" s="22"/>
      <c r="W76" s="22"/>
      <c r="X76" s="22"/>
      <c r="Y76" s="22"/>
      <c r="Z76" s="22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R76" s="17"/>
      <c r="AS76" s="17"/>
      <c r="AU76" s="17"/>
    </row>
    <row r="77" spans="1:47">
      <c r="A77" s="21"/>
      <c r="B77" s="18"/>
      <c r="C77" s="18"/>
      <c r="D77" s="18"/>
      <c r="E77" s="17"/>
      <c r="F77" s="17"/>
      <c r="I77" s="17"/>
      <c r="J77" s="17"/>
      <c r="K77" s="14"/>
      <c r="L77" s="17"/>
      <c r="M77" s="17"/>
      <c r="N77" s="16"/>
      <c r="O77" s="17"/>
      <c r="P77" s="17"/>
      <c r="Q77" s="22"/>
      <c r="R77" s="17"/>
      <c r="S77" s="17"/>
      <c r="T77" s="17"/>
      <c r="U77" s="17"/>
      <c r="V77" s="22"/>
      <c r="W77" s="22"/>
      <c r="X77" s="22"/>
      <c r="Y77" s="22"/>
      <c r="Z77" s="22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R77" s="17"/>
      <c r="AS77" s="17"/>
      <c r="AU77" s="17"/>
    </row>
    <row r="78" spans="1:47">
      <c r="A78" s="21"/>
      <c r="B78" s="18"/>
      <c r="C78" s="18"/>
      <c r="D78" s="18"/>
      <c r="E78" s="17"/>
      <c r="F78" s="17"/>
      <c r="I78" s="17"/>
      <c r="J78" s="17"/>
      <c r="K78" s="14"/>
      <c r="L78" s="17"/>
      <c r="M78" s="17"/>
      <c r="N78" s="16"/>
      <c r="O78" s="17"/>
      <c r="P78" s="17"/>
      <c r="Q78" s="22"/>
      <c r="R78" s="17"/>
      <c r="S78" s="17"/>
      <c r="T78" s="17"/>
      <c r="U78" s="17"/>
      <c r="V78" s="22"/>
      <c r="W78" s="22"/>
      <c r="X78" s="22"/>
      <c r="Y78" s="22"/>
      <c r="Z78" s="22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R78" s="17"/>
      <c r="AS78" s="17"/>
      <c r="AU78" s="17"/>
    </row>
    <row r="79" spans="1:47">
      <c r="A79" s="21"/>
      <c r="B79" s="18"/>
      <c r="C79" s="18"/>
      <c r="D79" s="18"/>
      <c r="E79" s="17"/>
      <c r="F79" s="17"/>
      <c r="I79" s="17"/>
      <c r="J79" s="17"/>
      <c r="K79" s="14"/>
      <c r="L79" s="17"/>
      <c r="M79" s="17"/>
      <c r="N79" s="16"/>
      <c r="O79" s="17"/>
      <c r="P79" s="17"/>
      <c r="Q79" s="22"/>
      <c r="R79" s="17"/>
      <c r="S79" s="17"/>
      <c r="T79" s="17"/>
      <c r="U79" s="17"/>
      <c r="V79" s="22"/>
      <c r="W79" s="22"/>
      <c r="X79" s="22"/>
      <c r="Y79" s="22"/>
      <c r="Z79" s="22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R79" s="17"/>
      <c r="AS79" s="17"/>
      <c r="AU79" s="17"/>
    </row>
  </sheetData>
  <autoFilter ref="AQ10:AQ34"/>
  <mergeCells count="39">
    <mergeCell ref="A2:AU2"/>
    <mergeCell ref="A3:AU3"/>
    <mergeCell ref="AU7:AU9"/>
    <mergeCell ref="A5:B5"/>
    <mergeCell ref="J8:J9"/>
    <mergeCell ref="M8:M9"/>
    <mergeCell ref="E8:E9"/>
    <mergeCell ref="AQ8:AQ9"/>
    <mergeCell ref="AS8:AS9"/>
    <mergeCell ref="AP8:AP9"/>
    <mergeCell ref="A4:B4"/>
    <mergeCell ref="Q7:AT7"/>
    <mergeCell ref="AN8:AN9"/>
    <mergeCell ref="AA8:AC8"/>
    <mergeCell ref="A7:A9"/>
    <mergeCell ref="B8:B9"/>
    <mergeCell ref="C8:C9"/>
    <mergeCell ref="F8:F9"/>
    <mergeCell ref="D8:D9"/>
    <mergeCell ref="B7:P7"/>
    <mergeCell ref="AR8:AR9"/>
    <mergeCell ref="AK8:AK9"/>
    <mergeCell ref="Q8:Q9"/>
    <mergeCell ref="R8:R9"/>
    <mergeCell ref="K8:L8"/>
    <mergeCell ref="N8:N9"/>
    <mergeCell ref="O8:O9"/>
    <mergeCell ref="P8:P9"/>
    <mergeCell ref="AT8:AT9"/>
    <mergeCell ref="S8:U8"/>
    <mergeCell ref="G8:H8"/>
    <mergeCell ref="I8:I9"/>
    <mergeCell ref="AJ8:AJ9"/>
    <mergeCell ref="V8:Z8"/>
    <mergeCell ref="AL8:AL9"/>
    <mergeCell ref="AO8:AO9"/>
    <mergeCell ref="AM8:AM9"/>
    <mergeCell ref="AD8:AE8"/>
    <mergeCell ref="AF8:AI8"/>
  </mergeCells>
  <pageMargins left="0.39" right="0.13" top="0.75" bottom="0.75" header="0.3" footer="0.3"/>
  <pageSetup paperSize="5" scale="80" orientation="landscape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99"/>
  </sheetPr>
  <dimension ref="A1:AB6"/>
  <sheetViews>
    <sheetView showGridLines="0" tabSelected="1" zoomScale="130" zoomScaleNormal="130" workbookViewId="0">
      <selection activeCell="E11" sqref="E11"/>
    </sheetView>
  </sheetViews>
  <sheetFormatPr defaultColWidth="9.140625" defaultRowHeight="14.1" customHeight="1"/>
  <cols>
    <col min="1" max="1" width="8.7109375" style="1" bestFit="1" customWidth="1"/>
    <col min="2" max="2" width="9.5703125" style="1" bestFit="1" customWidth="1"/>
    <col min="3" max="3" width="10.42578125" style="1" bestFit="1" customWidth="1"/>
    <col min="4" max="4" width="6.140625" style="1" bestFit="1" customWidth="1"/>
    <col min="5" max="5" width="8.85546875" style="1" bestFit="1" customWidth="1"/>
    <col min="6" max="6" width="8.42578125" style="1" customWidth="1"/>
    <col min="7" max="7" width="7.140625" style="31" customWidth="1"/>
    <col min="8" max="8" width="8" style="31" customWidth="1"/>
    <col min="9" max="9" width="9" style="1" customWidth="1"/>
    <col min="10" max="10" width="8.85546875" style="1" bestFit="1" customWidth="1"/>
    <col min="11" max="11" width="7.5703125" style="31" customWidth="1"/>
    <col min="12" max="12" width="7.42578125" style="31" bestFit="1" customWidth="1"/>
    <col min="13" max="13" width="7.5703125" style="1" customWidth="1"/>
    <col min="14" max="14" width="6.7109375" style="1" customWidth="1"/>
    <col min="15" max="15" width="5.5703125" style="1" customWidth="1"/>
    <col min="16" max="16" width="9.42578125" style="1" bestFit="1" customWidth="1"/>
    <col min="17" max="17" width="8.5703125" style="1" customWidth="1"/>
    <col min="18" max="18" width="6" style="1" bestFit="1" customWidth="1"/>
    <col min="19" max="19" width="3.7109375" style="1" bestFit="1" customWidth="1"/>
    <col min="20" max="20" width="3.28515625" style="1" bestFit="1" customWidth="1"/>
    <col min="21" max="21" width="3.7109375" style="1" bestFit="1" customWidth="1"/>
    <col min="22" max="22" width="2.85546875" style="1" bestFit="1" customWidth="1"/>
    <col min="23" max="23" width="5.5703125" style="1" customWidth="1"/>
    <col min="24" max="24" width="9.42578125" style="1" customWidth="1"/>
    <col min="25" max="25" width="5.7109375" style="1" bestFit="1" customWidth="1"/>
    <col min="26" max="26" width="7" style="1" customWidth="1"/>
    <col min="27" max="27" width="8" style="1" customWidth="1"/>
    <col min="28" max="28" width="14.85546875" style="1" customWidth="1"/>
    <col min="29" max="16384" width="9.140625" style="1"/>
  </cols>
  <sheetData>
    <row r="1" spans="1:28" ht="18.75" customHeight="1"/>
    <row r="2" spans="1:28" s="2" customFormat="1" ht="16.5" customHeight="1">
      <c r="A2" s="230" t="s">
        <v>36</v>
      </c>
      <c r="B2" s="234" t="s">
        <v>53</v>
      </c>
      <c r="C2" s="235"/>
      <c r="D2" s="235"/>
      <c r="E2" s="235"/>
      <c r="F2" s="235"/>
      <c r="G2" s="235"/>
      <c r="H2" s="235"/>
      <c r="I2" s="234" t="s">
        <v>54</v>
      </c>
      <c r="J2" s="235"/>
      <c r="K2" s="235"/>
      <c r="L2" s="235"/>
      <c r="M2" s="235"/>
      <c r="N2" s="235"/>
      <c r="O2" s="235"/>
      <c r="P2" s="242"/>
      <c r="Q2" s="231" t="s">
        <v>44</v>
      </c>
      <c r="R2" s="231"/>
      <c r="S2" s="231"/>
      <c r="T2" s="231"/>
      <c r="U2" s="231"/>
      <c r="V2" s="231"/>
      <c r="W2" s="231"/>
      <c r="X2" s="231" t="s">
        <v>57</v>
      </c>
      <c r="Y2" s="231"/>
      <c r="Z2" s="231"/>
      <c r="AA2" s="231"/>
      <c r="AB2" s="230" t="s">
        <v>35</v>
      </c>
    </row>
    <row r="3" spans="1:28" s="5" customFormat="1" ht="16.5" customHeight="1">
      <c r="A3" s="230"/>
      <c r="B3" s="239" t="s">
        <v>49</v>
      </c>
      <c r="C3" s="240"/>
      <c r="D3" s="241"/>
      <c r="E3" s="239" t="s">
        <v>50</v>
      </c>
      <c r="F3" s="240"/>
      <c r="G3" s="240"/>
      <c r="H3" s="240"/>
      <c r="I3" s="232" t="s">
        <v>41</v>
      </c>
      <c r="J3" s="232"/>
      <c r="K3" s="230" t="s">
        <v>512</v>
      </c>
      <c r="L3" s="230" t="s">
        <v>37</v>
      </c>
      <c r="M3" s="230" t="s">
        <v>38</v>
      </c>
      <c r="N3" s="230" t="s">
        <v>11</v>
      </c>
      <c r="O3" s="233" t="s">
        <v>513</v>
      </c>
      <c r="P3" s="233" t="s">
        <v>42</v>
      </c>
      <c r="Q3" s="230" t="s">
        <v>43</v>
      </c>
      <c r="R3" s="230" t="s">
        <v>45</v>
      </c>
      <c r="S3" s="230" t="s">
        <v>55</v>
      </c>
      <c r="T3" s="230"/>
      <c r="U3" s="230"/>
      <c r="V3" s="230"/>
      <c r="W3" s="236" t="s">
        <v>42</v>
      </c>
      <c r="X3" s="233" t="s">
        <v>56</v>
      </c>
      <c r="Y3" s="238"/>
      <c r="Z3" s="238" t="s">
        <v>39</v>
      </c>
      <c r="AA3" s="233" t="s">
        <v>40</v>
      </c>
      <c r="AB3" s="230"/>
    </row>
    <row r="4" spans="1:28" s="5" customFormat="1" ht="16.5" customHeight="1">
      <c r="A4" s="230"/>
      <c r="B4" s="25" t="s">
        <v>46</v>
      </c>
      <c r="C4" s="25" t="s">
        <v>47</v>
      </c>
      <c r="D4" s="25" t="s">
        <v>48</v>
      </c>
      <c r="E4" s="25" t="s">
        <v>41</v>
      </c>
      <c r="F4" s="25" t="s">
        <v>43</v>
      </c>
      <c r="G4" s="25" t="s">
        <v>51</v>
      </c>
      <c r="H4" s="25" t="s">
        <v>52</v>
      </c>
      <c r="I4" s="26" t="s">
        <v>20</v>
      </c>
      <c r="J4" s="26" t="s">
        <v>21</v>
      </c>
      <c r="K4" s="230"/>
      <c r="L4" s="230"/>
      <c r="M4" s="230"/>
      <c r="N4" s="230"/>
      <c r="O4" s="233"/>
      <c r="P4" s="233"/>
      <c r="Q4" s="230"/>
      <c r="R4" s="230"/>
      <c r="S4" s="27" t="s">
        <v>321</v>
      </c>
      <c r="T4" s="27" t="s">
        <v>322</v>
      </c>
      <c r="U4" s="27" t="s">
        <v>323</v>
      </c>
      <c r="V4" s="27" t="s">
        <v>238</v>
      </c>
      <c r="W4" s="237"/>
      <c r="X4" s="8" t="s">
        <v>41</v>
      </c>
      <c r="Y4" s="8" t="s">
        <v>5</v>
      </c>
      <c r="Z4" s="238"/>
      <c r="AA4" s="233"/>
      <c r="AB4" s="230"/>
    </row>
    <row r="5" spans="1:28" s="22" customFormat="1" ht="14.1" customHeight="1">
      <c r="A5" s="92" t="s">
        <v>628</v>
      </c>
      <c r="B5" s="93">
        <v>359619.03399999999</v>
      </c>
      <c r="C5" s="93">
        <v>9590558.0390000008</v>
      </c>
      <c r="D5" s="93">
        <v>69.816000000000003</v>
      </c>
      <c r="E5" s="200">
        <v>0</v>
      </c>
      <c r="F5" s="65" t="s">
        <v>607</v>
      </c>
      <c r="G5" s="65" t="s">
        <v>316</v>
      </c>
      <c r="H5" s="201" t="s">
        <v>611</v>
      </c>
      <c r="I5" s="56">
        <v>43924</v>
      </c>
      <c r="J5" s="56">
        <v>43928</v>
      </c>
      <c r="K5" s="64" t="s">
        <v>612</v>
      </c>
      <c r="L5" s="64" t="s">
        <v>608</v>
      </c>
      <c r="M5" s="203" t="s">
        <v>625</v>
      </c>
      <c r="N5" s="64" t="s">
        <v>622</v>
      </c>
      <c r="O5" s="64" t="s">
        <v>624</v>
      </c>
      <c r="P5" s="63">
        <v>100</v>
      </c>
      <c r="Q5" s="64" t="s">
        <v>509</v>
      </c>
      <c r="R5" s="64" t="s">
        <v>626</v>
      </c>
      <c r="S5" s="42" t="s">
        <v>511</v>
      </c>
      <c r="T5" s="42" t="s">
        <v>511</v>
      </c>
      <c r="U5" s="42" t="s">
        <v>510</v>
      </c>
      <c r="V5" s="42" t="s">
        <v>510</v>
      </c>
      <c r="W5" s="63">
        <v>95.98</v>
      </c>
      <c r="X5" s="23"/>
      <c r="Y5" s="63"/>
      <c r="Z5" s="64"/>
      <c r="AA5" s="64" t="s">
        <v>613</v>
      </c>
      <c r="AB5" s="64"/>
    </row>
    <row r="6" spans="1:28" ht="14.1" customHeight="1">
      <c r="B6" s="11"/>
      <c r="C6" s="11"/>
      <c r="D6" s="11"/>
      <c r="E6" s="11"/>
      <c r="F6" s="11"/>
      <c r="G6" s="79"/>
      <c r="H6" s="79"/>
      <c r="I6" s="41"/>
      <c r="J6" s="41"/>
    </row>
  </sheetData>
  <mergeCells count="22">
    <mergeCell ref="A2:A4"/>
    <mergeCell ref="Z3:Z4"/>
    <mergeCell ref="AA3:AA4"/>
    <mergeCell ref="B3:D3"/>
    <mergeCell ref="E3:H3"/>
    <mergeCell ref="X3:Y3"/>
    <mergeCell ref="I2:P2"/>
    <mergeCell ref="K3:K4"/>
    <mergeCell ref="N3:N4"/>
    <mergeCell ref="L3:L4"/>
    <mergeCell ref="M3:M4"/>
    <mergeCell ref="R3:R4"/>
    <mergeCell ref="Q3:Q4"/>
    <mergeCell ref="Q2:W2"/>
    <mergeCell ref="AB2:AB4"/>
    <mergeCell ref="X2:AA2"/>
    <mergeCell ref="I3:J3"/>
    <mergeCell ref="P3:P4"/>
    <mergeCell ref="B2:H2"/>
    <mergeCell ref="O3:O4"/>
    <mergeCell ref="S3:V3"/>
    <mergeCell ref="W3:W4"/>
  </mergeCells>
  <conditionalFormatting sqref="A8:A999 A6">
    <cfRule type="expression" dxfId="99" priority="51">
      <formula>AND($A6&lt;&gt;"",COUNTIF(id,$A6)=0)</formula>
    </cfRule>
  </conditionalFormatting>
  <conditionalFormatting sqref="K6:O1001 P6 B6:H1001 I8:J1001 I6:J6 P10:P1001 Q6:AA1001">
    <cfRule type="expression" dxfId="98" priority="50">
      <formula>AND(B6="",A6&lt;&gt;"")</formula>
    </cfRule>
  </conditionalFormatting>
  <conditionalFormatting sqref="W6:Y1000 P10:P1000 I8:J1000 P6 B6:E1000 I6:J6">
    <cfRule type="expression" dxfId="97" priority="49">
      <formula>AND(COUNT(B6)=0,B6&lt;&gt;"")</formula>
    </cfRule>
  </conditionalFormatting>
  <conditionalFormatting sqref="F6:F999">
    <cfRule type="expression" dxfId="96" priority="48">
      <formula>AND($F6&lt;&gt;"",COUNTIF(s_cont,$F6)=0)</formula>
    </cfRule>
  </conditionalFormatting>
  <conditionalFormatting sqref="G6:G999">
    <cfRule type="expression" dxfId="95" priority="47">
      <formula>AND($G6&lt;&gt;"",COUNTIF(s_meth,$G6)=0)</formula>
    </cfRule>
  </conditionalFormatting>
  <conditionalFormatting sqref="H6:H999">
    <cfRule type="expression" dxfId="94" priority="46">
      <formula>AND($H6&lt;&gt;"",COUNTIF(surveyor,$H6)=0)</formula>
    </cfRule>
  </conditionalFormatting>
  <conditionalFormatting sqref="E8:E999 E6">
    <cfRule type="expression" dxfId="93" priority="45">
      <formula>AND($E6&lt;&gt;"",$J6&lt;&gt;"",$E6&lt;$J6)</formula>
    </cfRule>
  </conditionalFormatting>
  <conditionalFormatting sqref="I8:I999 I6">
    <cfRule type="expression" dxfId="92" priority="44">
      <formula>OR(AND($I6&lt;&gt;"",$J6&lt;&gt;"",$I6&gt;$J6),AND($I6&lt;&gt;"",MIN(date)&lt;&gt;$I6))</formula>
    </cfRule>
  </conditionalFormatting>
  <conditionalFormatting sqref="J8:J999 J6">
    <cfRule type="expression" dxfId="91" priority="43">
      <formula>OR(AND($I6&lt;&gt;"",$J6&lt;&gt;"",$J6&lt;$I6),AND($E6&lt;&gt;"",$J6&lt;&gt;"",$J6&gt;$E6),AND($J6&lt;&gt;"",MAX(date)&lt;&gt;$J6))</formula>
    </cfRule>
  </conditionalFormatting>
  <conditionalFormatting sqref="L6:L999">
    <cfRule type="expression" dxfId="90" priority="42">
      <formula>AND($L6&lt;&gt;"",COUNTIF(d_rig,$L6)=0)</formula>
    </cfRule>
  </conditionalFormatting>
  <conditionalFormatting sqref="K6:K999">
    <cfRule type="expression" dxfId="89" priority="41">
      <formula>AND($K6&lt;&gt;"",COUNTIF(d_cont,$K6)=0)</formula>
    </cfRule>
  </conditionalFormatting>
  <conditionalFormatting sqref="M6:M999">
    <cfRule type="expression" dxfId="88" priority="40">
      <formula>AND($M6&lt;&gt;"",COUNTIF(d_rigid,$M6)=0)</formula>
    </cfRule>
  </conditionalFormatting>
  <conditionalFormatting sqref="N6:N999">
    <cfRule type="expression" dxfId="87" priority="39">
      <formula>AND($N6&lt;&gt;"",COUNTIF(driller,$N6)=0)</formula>
    </cfRule>
  </conditionalFormatting>
  <conditionalFormatting sqref="O6:O999">
    <cfRule type="expression" dxfId="86" priority="38">
      <formula>AND($O6&lt;&gt;"",COUNTIF(wellsite,$O6)=0)</formula>
    </cfRule>
  </conditionalFormatting>
  <conditionalFormatting sqref="Q6:Q999">
    <cfRule type="expression" dxfId="85" priority="37">
      <formula>AND($Q6&lt;&gt;"",COUNTIF(gp_cont,$Q6)=0)</formula>
    </cfRule>
  </conditionalFormatting>
  <conditionalFormatting sqref="R6:R999">
    <cfRule type="expression" dxfId="84" priority="36">
      <formula>AND($R6&lt;&gt;"",COUNTIF(gp_log,$R6)=0)</formula>
    </cfRule>
  </conditionalFormatting>
  <conditionalFormatting sqref="S6:V1003">
    <cfRule type="expression" dxfId="83" priority="35">
      <formula>AND(S6&lt;&gt;"",COUNTIF(g_log,S6)=0)</formula>
    </cfRule>
  </conditionalFormatting>
  <conditionalFormatting sqref="P6 P10:P999">
    <cfRule type="expression" dxfId="82" priority="34">
      <formula>OR(AND($P6&lt;&gt;"",$W6&lt;&gt;"",$P6&lt;$W6),AND($P6&lt;&gt;"",$P6&lt;&gt;MAX(max)))</formula>
    </cfRule>
  </conditionalFormatting>
  <conditionalFormatting sqref="W6 W10:W999">
    <cfRule type="expression" dxfId="81" priority="31">
      <formula>AND($P6&lt;&gt;"",$W6&lt;&gt;"",$W6&gt;$P6)</formula>
    </cfRule>
  </conditionalFormatting>
  <conditionalFormatting sqref="Z6:Z999">
    <cfRule type="expression" dxfId="80" priority="30">
      <formula>AND($Z6&lt;&gt;"",COUNTIF(wellsite,$Z6)=0)</formula>
    </cfRule>
  </conditionalFormatting>
  <conditionalFormatting sqref="AA6:AA999">
    <cfRule type="expression" dxfId="79" priority="29">
      <formula>AND($AA6&lt;&gt;"",COUNTIF(check,$AA6)=0)</formula>
    </cfRule>
  </conditionalFormatting>
  <conditionalFormatting sqref="E7">
    <cfRule type="expression" dxfId="78" priority="107">
      <formula>AND($E7&lt;&gt;"",#REF!&lt;&gt;"",$E7&lt;#REF!)</formula>
    </cfRule>
  </conditionalFormatting>
  <conditionalFormatting sqref="W7">
    <cfRule type="expression" dxfId="77" priority="130">
      <formula>AND(#REF!&lt;&gt;"",$W7&lt;&gt;"",$W7&gt;#REF!)</formula>
    </cfRule>
  </conditionalFormatting>
  <conditionalFormatting sqref="W9">
    <cfRule type="expression" dxfId="76" priority="145">
      <formula>AND(#REF!&lt;&gt;"",$W9&lt;&gt;"",$W9&gt;#REF!)</formula>
    </cfRule>
  </conditionalFormatting>
  <conditionalFormatting sqref="W8">
    <cfRule type="expression" dxfId="75" priority="157">
      <formula>AND(#REF!&lt;&gt;"",$W8&lt;&gt;"",$W8&gt;#REF!)</formula>
    </cfRule>
  </conditionalFormatting>
  <pageMargins left="0.3" right="0.16" top="0.75" bottom="0.75" header="0.3" footer="0.3"/>
  <pageSetup paperSize="5" scale="8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99"/>
  </sheetPr>
  <dimension ref="A1:AT130"/>
  <sheetViews>
    <sheetView workbookViewId="0">
      <pane ySplit="9" topLeftCell="A10" activePane="bottomLeft" state="frozen"/>
      <selection pane="bottomLeft" activeCell="L10" sqref="L10:N10"/>
    </sheetView>
  </sheetViews>
  <sheetFormatPr defaultRowHeight="15"/>
  <cols>
    <col min="1" max="3" width="9.140625" style="70"/>
    <col min="4" max="5" width="9.7109375" style="70" bestFit="1" customWidth="1"/>
    <col min="6" max="8" width="9.140625" style="70"/>
    <col min="9" max="9" width="9.42578125" style="70" bestFit="1" customWidth="1"/>
    <col min="10" max="10" width="10.42578125" style="70" bestFit="1" customWidth="1"/>
    <col min="11" max="11" width="9.28515625" style="70" bestFit="1" customWidth="1"/>
    <col min="12" max="12" width="10.42578125" style="70" bestFit="1" customWidth="1"/>
    <col min="13" max="13" width="11.42578125" style="70" bestFit="1" customWidth="1"/>
    <col min="14" max="14" width="9.28515625" style="70" bestFit="1" customWidth="1"/>
    <col min="15" max="17" width="9.140625" style="70"/>
    <col min="18" max="18" width="5.7109375" style="70" customWidth="1"/>
    <col min="19" max="21" width="8.85546875" style="71" customWidth="1"/>
    <col min="22" max="37" width="9.140625" style="70"/>
    <col min="38" max="38" width="12.7109375" style="70" customWidth="1"/>
    <col min="39" max="40" width="9.140625" style="70"/>
    <col min="41" max="41" width="26" style="70" bestFit="1" customWidth="1"/>
    <col min="42" max="259" width="9.140625" style="70"/>
    <col min="260" max="261" width="9.7109375" style="70" bestFit="1" customWidth="1"/>
    <col min="262" max="273" width="9.140625" style="70"/>
    <col min="274" max="274" width="5.7109375" style="70" customWidth="1"/>
    <col min="275" max="277" width="8.85546875" style="70" customWidth="1"/>
    <col min="278" max="293" width="9.140625" style="70"/>
    <col min="294" max="294" width="16.7109375" style="70" bestFit="1" customWidth="1"/>
    <col min="295" max="296" width="9.140625" style="70"/>
    <col min="297" max="297" width="26" style="70" bestFit="1" customWidth="1"/>
    <col min="298" max="515" width="9.140625" style="70"/>
    <col min="516" max="517" width="9.7109375" style="70" bestFit="1" customWidth="1"/>
    <col min="518" max="529" width="9.140625" style="70"/>
    <col min="530" max="530" width="5.7109375" style="70" customWidth="1"/>
    <col min="531" max="533" width="8.85546875" style="70" customWidth="1"/>
    <col min="534" max="549" width="9.140625" style="70"/>
    <col min="550" max="550" width="16.7109375" style="70" bestFit="1" customWidth="1"/>
    <col min="551" max="552" width="9.140625" style="70"/>
    <col min="553" max="553" width="26" style="70" bestFit="1" customWidth="1"/>
    <col min="554" max="771" width="9.140625" style="70"/>
    <col min="772" max="773" width="9.7109375" style="70" bestFit="1" customWidth="1"/>
    <col min="774" max="785" width="9.140625" style="70"/>
    <col min="786" max="786" width="5.7109375" style="70" customWidth="1"/>
    <col min="787" max="789" width="8.85546875" style="70" customWidth="1"/>
    <col min="790" max="805" width="9.140625" style="70"/>
    <col min="806" max="806" width="16.7109375" style="70" bestFit="1" customWidth="1"/>
    <col min="807" max="808" width="9.140625" style="70"/>
    <col min="809" max="809" width="26" style="70" bestFit="1" customWidth="1"/>
    <col min="810" max="1027" width="9.140625" style="70"/>
    <col min="1028" max="1029" width="9.7109375" style="70" bestFit="1" customWidth="1"/>
    <col min="1030" max="1041" width="9.140625" style="70"/>
    <col min="1042" max="1042" width="5.7109375" style="70" customWidth="1"/>
    <col min="1043" max="1045" width="8.85546875" style="70" customWidth="1"/>
    <col min="1046" max="1061" width="9.140625" style="70"/>
    <col min="1062" max="1062" width="16.7109375" style="70" bestFit="1" customWidth="1"/>
    <col min="1063" max="1064" width="9.140625" style="70"/>
    <col min="1065" max="1065" width="26" style="70" bestFit="1" customWidth="1"/>
    <col min="1066" max="1283" width="9.140625" style="70"/>
    <col min="1284" max="1285" width="9.7109375" style="70" bestFit="1" customWidth="1"/>
    <col min="1286" max="1297" width="9.140625" style="70"/>
    <col min="1298" max="1298" width="5.7109375" style="70" customWidth="1"/>
    <col min="1299" max="1301" width="8.85546875" style="70" customWidth="1"/>
    <col min="1302" max="1317" width="9.140625" style="70"/>
    <col min="1318" max="1318" width="16.7109375" style="70" bestFit="1" customWidth="1"/>
    <col min="1319" max="1320" width="9.140625" style="70"/>
    <col min="1321" max="1321" width="26" style="70" bestFit="1" customWidth="1"/>
    <col min="1322" max="1539" width="9.140625" style="70"/>
    <col min="1540" max="1541" width="9.7109375" style="70" bestFit="1" customWidth="1"/>
    <col min="1542" max="1553" width="9.140625" style="70"/>
    <col min="1554" max="1554" width="5.7109375" style="70" customWidth="1"/>
    <col min="1555" max="1557" width="8.85546875" style="70" customWidth="1"/>
    <col min="1558" max="1573" width="9.140625" style="70"/>
    <col min="1574" max="1574" width="16.7109375" style="70" bestFit="1" customWidth="1"/>
    <col min="1575" max="1576" width="9.140625" style="70"/>
    <col min="1577" max="1577" width="26" style="70" bestFit="1" customWidth="1"/>
    <col min="1578" max="1795" width="9.140625" style="70"/>
    <col min="1796" max="1797" width="9.7109375" style="70" bestFit="1" customWidth="1"/>
    <col min="1798" max="1809" width="9.140625" style="70"/>
    <col min="1810" max="1810" width="5.7109375" style="70" customWidth="1"/>
    <col min="1811" max="1813" width="8.85546875" style="70" customWidth="1"/>
    <col min="1814" max="1829" width="9.140625" style="70"/>
    <col min="1830" max="1830" width="16.7109375" style="70" bestFit="1" customWidth="1"/>
    <col min="1831" max="1832" width="9.140625" style="70"/>
    <col min="1833" max="1833" width="26" style="70" bestFit="1" customWidth="1"/>
    <col min="1834" max="2051" width="9.140625" style="70"/>
    <col min="2052" max="2053" width="9.7109375" style="70" bestFit="1" customWidth="1"/>
    <col min="2054" max="2065" width="9.140625" style="70"/>
    <col min="2066" max="2066" width="5.7109375" style="70" customWidth="1"/>
    <col min="2067" max="2069" width="8.85546875" style="70" customWidth="1"/>
    <col min="2070" max="2085" width="9.140625" style="70"/>
    <col min="2086" max="2086" width="16.7109375" style="70" bestFit="1" customWidth="1"/>
    <col min="2087" max="2088" width="9.140625" style="70"/>
    <col min="2089" max="2089" width="26" style="70" bestFit="1" customWidth="1"/>
    <col min="2090" max="2307" width="9.140625" style="70"/>
    <col min="2308" max="2309" width="9.7109375" style="70" bestFit="1" customWidth="1"/>
    <col min="2310" max="2321" width="9.140625" style="70"/>
    <col min="2322" max="2322" width="5.7109375" style="70" customWidth="1"/>
    <col min="2323" max="2325" width="8.85546875" style="70" customWidth="1"/>
    <col min="2326" max="2341" width="9.140625" style="70"/>
    <col min="2342" max="2342" width="16.7109375" style="70" bestFit="1" customWidth="1"/>
    <col min="2343" max="2344" width="9.140625" style="70"/>
    <col min="2345" max="2345" width="26" style="70" bestFit="1" customWidth="1"/>
    <col min="2346" max="2563" width="9.140625" style="70"/>
    <col min="2564" max="2565" width="9.7109375" style="70" bestFit="1" customWidth="1"/>
    <col min="2566" max="2577" width="9.140625" style="70"/>
    <col min="2578" max="2578" width="5.7109375" style="70" customWidth="1"/>
    <col min="2579" max="2581" width="8.85546875" style="70" customWidth="1"/>
    <col min="2582" max="2597" width="9.140625" style="70"/>
    <col min="2598" max="2598" width="16.7109375" style="70" bestFit="1" customWidth="1"/>
    <col min="2599" max="2600" width="9.140625" style="70"/>
    <col min="2601" max="2601" width="26" style="70" bestFit="1" customWidth="1"/>
    <col min="2602" max="2819" width="9.140625" style="70"/>
    <col min="2820" max="2821" width="9.7109375" style="70" bestFit="1" customWidth="1"/>
    <col min="2822" max="2833" width="9.140625" style="70"/>
    <col min="2834" max="2834" width="5.7109375" style="70" customWidth="1"/>
    <col min="2835" max="2837" width="8.85546875" style="70" customWidth="1"/>
    <col min="2838" max="2853" width="9.140625" style="70"/>
    <col min="2854" max="2854" width="16.7109375" style="70" bestFit="1" customWidth="1"/>
    <col min="2855" max="2856" width="9.140625" style="70"/>
    <col min="2857" max="2857" width="26" style="70" bestFit="1" customWidth="1"/>
    <col min="2858" max="3075" width="9.140625" style="70"/>
    <col min="3076" max="3077" width="9.7109375" style="70" bestFit="1" customWidth="1"/>
    <col min="3078" max="3089" width="9.140625" style="70"/>
    <col min="3090" max="3090" width="5.7109375" style="70" customWidth="1"/>
    <col min="3091" max="3093" width="8.85546875" style="70" customWidth="1"/>
    <col min="3094" max="3109" width="9.140625" style="70"/>
    <col min="3110" max="3110" width="16.7109375" style="70" bestFit="1" customWidth="1"/>
    <col min="3111" max="3112" width="9.140625" style="70"/>
    <col min="3113" max="3113" width="26" style="70" bestFit="1" customWidth="1"/>
    <col min="3114" max="3331" width="9.140625" style="70"/>
    <col min="3332" max="3333" width="9.7109375" style="70" bestFit="1" customWidth="1"/>
    <col min="3334" max="3345" width="9.140625" style="70"/>
    <col min="3346" max="3346" width="5.7109375" style="70" customWidth="1"/>
    <col min="3347" max="3349" width="8.85546875" style="70" customWidth="1"/>
    <col min="3350" max="3365" width="9.140625" style="70"/>
    <col min="3366" max="3366" width="16.7109375" style="70" bestFit="1" customWidth="1"/>
    <col min="3367" max="3368" width="9.140625" style="70"/>
    <col min="3369" max="3369" width="26" style="70" bestFit="1" customWidth="1"/>
    <col min="3370" max="3587" width="9.140625" style="70"/>
    <col min="3588" max="3589" width="9.7109375" style="70" bestFit="1" customWidth="1"/>
    <col min="3590" max="3601" width="9.140625" style="70"/>
    <col min="3602" max="3602" width="5.7109375" style="70" customWidth="1"/>
    <col min="3603" max="3605" width="8.85546875" style="70" customWidth="1"/>
    <col min="3606" max="3621" width="9.140625" style="70"/>
    <col min="3622" max="3622" width="16.7109375" style="70" bestFit="1" customWidth="1"/>
    <col min="3623" max="3624" width="9.140625" style="70"/>
    <col min="3625" max="3625" width="26" style="70" bestFit="1" customWidth="1"/>
    <col min="3626" max="3843" width="9.140625" style="70"/>
    <col min="3844" max="3845" width="9.7109375" style="70" bestFit="1" customWidth="1"/>
    <col min="3846" max="3857" width="9.140625" style="70"/>
    <col min="3858" max="3858" width="5.7109375" style="70" customWidth="1"/>
    <col min="3859" max="3861" width="8.85546875" style="70" customWidth="1"/>
    <col min="3862" max="3877" width="9.140625" style="70"/>
    <col min="3878" max="3878" width="16.7109375" style="70" bestFit="1" customWidth="1"/>
    <col min="3879" max="3880" width="9.140625" style="70"/>
    <col min="3881" max="3881" width="26" style="70" bestFit="1" customWidth="1"/>
    <col min="3882" max="4099" width="9.140625" style="70"/>
    <col min="4100" max="4101" width="9.7109375" style="70" bestFit="1" customWidth="1"/>
    <col min="4102" max="4113" width="9.140625" style="70"/>
    <col min="4114" max="4114" width="5.7109375" style="70" customWidth="1"/>
    <col min="4115" max="4117" width="8.85546875" style="70" customWidth="1"/>
    <col min="4118" max="4133" width="9.140625" style="70"/>
    <col min="4134" max="4134" width="16.7109375" style="70" bestFit="1" customWidth="1"/>
    <col min="4135" max="4136" width="9.140625" style="70"/>
    <col min="4137" max="4137" width="26" style="70" bestFit="1" customWidth="1"/>
    <col min="4138" max="4355" width="9.140625" style="70"/>
    <col min="4356" max="4357" width="9.7109375" style="70" bestFit="1" customWidth="1"/>
    <col min="4358" max="4369" width="9.140625" style="70"/>
    <col min="4370" max="4370" width="5.7109375" style="70" customWidth="1"/>
    <col min="4371" max="4373" width="8.85546875" style="70" customWidth="1"/>
    <col min="4374" max="4389" width="9.140625" style="70"/>
    <col min="4390" max="4390" width="16.7109375" style="70" bestFit="1" customWidth="1"/>
    <col min="4391" max="4392" width="9.140625" style="70"/>
    <col min="4393" max="4393" width="26" style="70" bestFit="1" customWidth="1"/>
    <col min="4394" max="4611" width="9.140625" style="70"/>
    <col min="4612" max="4613" width="9.7109375" style="70" bestFit="1" customWidth="1"/>
    <col min="4614" max="4625" width="9.140625" style="70"/>
    <col min="4626" max="4626" width="5.7109375" style="70" customWidth="1"/>
    <col min="4627" max="4629" width="8.85546875" style="70" customWidth="1"/>
    <col min="4630" max="4645" width="9.140625" style="70"/>
    <col min="4646" max="4646" width="16.7109375" style="70" bestFit="1" customWidth="1"/>
    <col min="4647" max="4648" width="9.140625" style="70"/>
    <col min="4649" max="4649" width="26" style="70" bestFit="1" customWidth="1"/>
    <col min="4650" max="4867" width="9.140625" style="70"/>
    <col min="4868" max="4869" width="9.7109375" style="70" bestFit="1" customWidth="1"/>
    <col min="4870" max="4881" width="9.140625" style="70"/>
    <col min="4882" max="4882" width="5.7109375" style="70" customWidth="1"/>
    <col min="4883" max="4885" width="8.85546875" style="70" customWidth="1"/>
    <col min="4886" max="4901" width="9.140625" style="70"/>
    <col min="4902" max="4902" width="16.7109375" style="70" bestFit="1" customWidth="1"/>
    <col min="4903" max="4904" width="9.140625" style="70"/>
    <col min="4905" max="4905" width="26" style="70" bestFit="1" customWidth="1"/>
    <col min="4906" max="5123" width="9.140625" style="70"/>
    <col min="5124" max="5125" width="9.7109375" style="70" bestFit="1" customWidth="1"/>
    <col min="5126" max="5137" width="9.140625" style="70"/>
    <col min="5138" max="5138" width="5.7109375" style="70" customWidth="1"/>
    <col min="5139" max="5141" width="8.85546875" style="70" customWidth="1"/>
    <col min="5142" max="5157" width="9.140625" style="70"/>
    <col min="5158" max="5158" width="16.7109375" style="70" bestFit="1" customWidth="1"/>
    <col min="5159" max="5160" width="9.140625" style="70"/>
    <col min="5161" max="5161" width="26" style="70" bestFit="1" customWidth="1"/>
    <col min="5162" max="5379" width="9.140625" style="70"/>
    <col min="5380" max="5381" width="9.7109375" style="70" bestFit="1" customWidth="1"/>
    <col min="5382" max="5393" width="9.140625" style="70"/>
    <col min="5394" max="5394" width="5.7109375" style="70" customWidth="1"/>
    <col min="5395" max="5397" width="8.85546875" style="70" customWidth="1"/>
    <col min="5398" max="5413" width="9.140625" style="70"/>
    <col min="5414" max="5414" width="16.7109375" style="70" bestFit="1" customWidth="1"/>
    <col min="5415" max="5416" width="9.140625" style="70"/>
    <col min="5417" max="5417" width="26" style="70" bestFit="1" customWidth="1"/>
    <col min="5418" max="5635" width="9.140625" style="70"/>
    <col min="5636" max="5637" width="9.7109375" style="70" bestFit="1" customWidth="1"/>
    <col min="5638" max="5649" width="9.140625" style="70"/>
    <col min="5650" max="5650" width="5.7109375" style="70" customWidth="1"/>
    <col min="5651" max="5653" width="8.85546875" style="70" customWidth="1"/>
    <col min="5654" max="5669" width="9.140625" style="70"/>
    <col min="5670" max="5670" width="16.7109375" style="70" bestFit="1" customWidth="1"/>
    <col min="5671" max="5672" width="9.140625" style="70"/>
    <col min="5673" max="5673" width="26" style="70" bestFit="1" customWidth="1"/>
    <col min="5674" max="5891" width="9.140625" style="70"/>
    <col min="5892" max="5893" width="9.7109375" style="70" bestFit="1" customWidth="1"/>
    <col min="5894" max="5905" width="9.140625" style="70"/>
    <col min="5906" max="5906" width="5.7109375" style="70" customWidth="1"/>
    <col min="5907" max="5909" width="8.85546875" style="70" customWidth="1"/>
    <col min="5910" max="5925" width="9.140625" style="70"/>
    <col min="5926" max="5926" width="16.7109375" style="70" bestFit="1" customWidth="1"/>
    <col min="5927" max="5928" width="9.140625" style="70"/>
    <col min="5929" max="5929" width="26" style="70" bestFit="1" customWidth="1"/>
    <col min="5930" max="6147" width="9.140625" style="70"/>
    <col min="6148" max="6149" width="9.7109375" style="70" bestFit="1" customWidth="1"/>
    <col min="6150" max="6161" width="9.140625" style="70"/>
    <col min="6162" max="6162" width="5.7109375" style="70" customWidth="1"/>
    <col min="6163" max="6165" width="8.85546875" style="70" customWidth="1"/>
    <col min="6166" max="6181" width="9.140625" style="70"/>
    <col min="6182" max="6182" width="16.7109375" style="70" bestFit="1" customWidth="1"/>
    <col min="6183" max="6184" width="9.140625" style="70"/>
    <col min="6185" max="6185" width="26" style="70" bestFit="1" customWidth="1"/>
    <col min="6186" max="6403" width="9.140625" style="70"/>
    <col min="6404" max="6405" width="9.7109375" style="70" bestFit="1" customWidth="1"/>
    <col min="6406" max="6417" width="9.140625" style="70"/>
    <col min="6418" max="6418" width="5.7109375" style="70" customWidth="1"/>
    <col min="6419" max="6421" width="8.85546875" style="70" customWidth="1"/>
    <col min="6422" max="6437" width="9.140625" style="70"/>
    <col min="6438" max="6438" width="16.7109375" style="70" bestFit="1" customWidth="1"/>
    <col min="6439" max="6440" width="9.140625" style="70"/>
    <col min="6441" max="6441" width="26" style="70" bestFit="1" customWidth="1"/>
    <col min="6442" max="6659" width="9.140625" style="70"/>
    <col min="6660" max="6661" width="9.7109375" style="70" bestFit="1" customWidth="1"/>
    <col min="6662" max="6673" width="9.140625" style="70"/>
    <col min="6674" max="6674" width="5.7109375" style="70" customWidth="1"/>
    <col min="6675" max="6677" width="8.85546875" style="70" customWidth="1"/>
    <col min="6678" max="6693" width="9.140625" style="70"/>
    <col min="6694" max="6694" width="16.7109375" style="70" bestFit="1" customWidth="1"/>
    <col min="6695" max="6696" width="9.140625" style="70"/>
    <col min="6697" max="6697" width="26" style="70" bestFit="1" customWidth="1"/>
    <col min="6698" max="6915" width="9.140625" style="70"/>
    <col min="6916" max="6917" width="9.7109375" style="70" bestFit="1" customWidth="1"/>
    <col min="6918" max="6929" width="9.140625" style="70"/>
    <col min="6930" max="6930" width="5.7109375" style="70" customWidth="1"/>
    <col min="6931" max="6933" width="8.85546875" style="70" customWidth="1"/>
    <col min="6934" max="6949" width="9.140625" style="70"/>
    <col min="6950" max="6950" width="16.7109375" style="70" bestFit="1" customWidth="1"/>
    <col min="6951" max="6952" width="9.140625" style="70"/>
    <col min="6953" max="6953" width="26" style="70" bestFit="1" customWidth="1"/>
    <col min="6954" max="7171" width="9.140625" style="70"/>
    <col min="7172" max="7173" width="9.7109375" style="70" bestFit="1" customWidth="1"/>
    <col min="7174" max="7185" width="9.140625" style="70"/>
    <col min="7186" max="7186" width="5.7109375" style="70" customWidth="1"/>
    <col min="7187" max="7189" width="8.85546875" style="70" customWidth="1"/>
    <col min="7190" max="7205" width="9.140625" style="70"/>
    <col min="7206" max="7206" width="16.7109375" style="70" bestFit="1" customWidth="1"/>
    <col min="7207" max="7208" width="9.140625" style="70"/>
    <col min="7209" max="7209" width="26" style="70" bestFit="1" customWidth="1"/>
    <col min="7210" max="7427" width="9.140625" style="70"/>
    <col min="7428" max="7429" width="9.7109375" style="70" bestFit="1" customWidth="1"/>
    <col min="7430" max="7441" width="9.140625" style="70"/>
    <col min="7442" max="7442" width="5.7109375" style="70" customWidth="1"/>
    <col min="7443" max="7445" width="8.85546875" style="70" customWidth="1"/>
    <col min="7446" max="7461" width="9.140625" style="70"/>
    <col min="7462" max="7462" width="16.7109375" style="70" bestFit="1" customWidth="1"/>
    <col min="7463" max="7464" width="9.140625" style="70"/>
    <col min="7465" max="7465" width="26" style="70" bestFit="1" customWidth="1"/>
    <col min="7466" max="7683" width="9.140625" style="70"/>
    <col min="7684" max="7685" width="9.7109375" style="70" bestFit="1" customWidth="1"/>
    <col min="7686" max="7697" width="9.140625" style="70"/>
    <col min="7698" max="7698" width="5.7109375" style="70" customWidth="1"/>
    <col min="7699" max="7701" width="8.85546875" style="70" customWidth="1"/>
    <col min="7702" max="7717" width="9.140625" style="70"/>
    <col min="7718" max="7718" width="16.7109375" style="70" bestFit="1" customWidth="1"/>
    <col min="7719" max="7720" width="9.140625" style="70"/>
    <col min="7721" max="7721" width="26" style="70" bestFit="1" customWidth="1"/>
    <col min="7722" max="7939" width="9.140625" style="70"/>
    <col min="7940" max="7941" width="9.7109375" style="70" bestFit="1" customWidth="1"/>
    <col min="7942" max="7953" width="9.140625" style="70"/>
    <col min="7954" max="7954" width="5.7109375" style="70" customWidth="1"/>
    <col min="7955" max="7957" width="8.85546875" style="70" customWidth="1"/>
    <col min="7958" max="7973" width="9.140625" style="70"/>
    <col min="7974" max="7974" width="16.7109375" style="70" bestFit="1" customWidth="1"/>
    <col min="7975" max="7976" width="9.140625" style="70"/>
    <col min="7977" max="7977" width="26" style="70" bestFit="1" customWidth="1"/>
    <col min="7978" max="8195" width="9.140625" style="70"/>
    <col min="8196" max="8197" width="9.7109375" style="70" bestFit="1" customWidth="1"/>
    <col min="8198" max="8209" width="9.140625" style="70"/>
    <col min="8210" max="8210" width="5.7109375" style="70" customWidth="1"/>
    <col min="8211" max="8213" width="8.85546875" style="70" customWidth="1"/>
    <col min="8214" max="8229" width="9.140625" style="70"/>
    <col min="8230" max="8230" width="16.7109375" style="70" bestFit="1" customWidth="1"/>
    <col min="8231" max="8232" width="9.140625" style="70"/>
    <col min="8233" max="8233" width="26" style="70" bestFit="1" customWidth="1"/>
    <col min="8234" max="8451" width="9.140625" style="70"/>
    <col min="8452" max="8453" width="9.7109375" style="70" bestFit="1" customWidth="1"/>
    <col min="8454" max="8465" width="9.140625" style="70"/>
    <col min="8466" max="8466" width="5.7109375" style="70" customWidth="1"/>
    <col min="8467" max="8469" width="8.85546875" style="70" customWidth="1"/>
    <col min="8470" max="8485" width="9.140625" style="70"/>
    <col min="8486" max="8486" width="16.7109375" style="70" bestFit="1" customWidth="1"/>
    <col min="8487" max="8488" width="9.140625" style="70"/>
    <col min="8489" max="8489" width="26" style="70" bestFit="1" customWidth="1"/>
    <col min="8490" max="8707" width="9.140625" style="70"/>
    <col min="8708" max="8709" width="9.7109375" style="70" bestFit="1" customWidth="1"/>
    <col min="8710" max="8721" width="9.140625" style="70"/>
    <col min="8722" max="8722" width="5.7109375" style="70" customWidth="1"/>
    <col min="8723" max="8725" width="8.85546875" style="70" customWidth="1"/>
    <col min="8726" max="8741" width="9.140625" style="70"/>
    <col min="8742" max="8742" width="16.7109375" style="70" bestFit="1" customWidth="1"/>
    <col min="8743" max="8744" width="9.140625" style="70"/>
    <col min="8745" max="8745" width="26" style="70" bestFit="1" customWidth="1"/>
    <col min="8746" max="8963" width="9.140625" style="70"/>
    <col min="8964" max="8965" width="9.7109375" style="70" bestFit="1" customWidth="1"/>
    <col min="8966" max="8977" width="9.140625" style="70"/>
    <col min="8978" max="8978" width="5.7109375" style="70" customWidth="1"/>
    <col min="8979" max="8981" width="8.85546875" style="70" customWidth="1"/>
    <col min="8982" max="8997" width="9.140625" style="70"/>
    <col min="8998" max="8998" width="16.7109375" style="70" bestFit="1" customWidth="1"/>
    <col min="8999" max="9000" width="9.140625" style="70"/>
    <col min="9001" max="9001" width="26" style="70" bestFit="1" customWidth="1"/>
    <col min="9002" max="9219" width="9.140625" style="70"/>
    <col min="9220" max="9221" width="9.7109375" style="70" bestFit="1" customWidth="1"/>
    <col min="9222" max="9233" width="9.140625" style="70"/>
    <col min="9234" max="9234" width="5.7109375" style="70" customWidth="1"/>
    <col min="9235" max="9237" width="8.85546875" style="70" customWidth="1"/>
    <col min="9238" max="9253" width="9.140625" style="70"/>
    <col min="9254" max="9254" width="16.7109375" style="70" bestFit="1" customWidth="1"/>
    <col min="9255" max="9256" width="9.140625" style="70"/>
    <col min="9257" max="9257" width="26" style="70" bestFit="1" customWidth="1"/>
    <col min="9258" max="9475" width="9.140625" style="70"/>
    <col min="9476" max="9477" width="9.7109375" style="70" bestFit="1" customWidth="1"/>
    <col min="9478" max="9489" width="9.140625" style="70"/>
    <col min="9490" max="9490" width="5.7109375" style="70" customWidth="1"/>
    <col min="9491" max="9493" width="8.85546875" style="70" customWidth="1"/>
    <col min="9494" max="9509" width="9.140625" style="70"/>
    <col min="9510" max="9510" width="16.7109375" style="70" bestFit="1" customWidth="1"/>
    <col min="9511" max="9512" width="9.140625" style="70"/>
    <col min="9513" max="9513" width="26" style="70" bestFit="1" customWidth="1"/>
    <col min="9514" max="9731" width="9.140625" style="70"/>
    <col min="9732" max="9733" width="9.7109375" style="70" bestFit="1" customWidth="1"/>
    <col min="9734" max="9745" width="9.140625" style="70"/>
    <col min="9746" max="9746" width="5.7109375" style="70" customWidth="1"/>
    <col min="9747" max="9749" width="8.85546875" style="70" customWidth="1"/>
    <col min="9750" max="9765" width="9.140625" style="70"/>
    <col min="9766" max="9766" width="16.7109375" style="70" bestFit="1" customWidth="1"/>
    <col min="9767" max="9768" width="9.140625" style="70"/>
    <col min="9769" max="9769" width="26" style="70" bestFit="1" customWidth="1"/>
    <col min="9770" max="9987" width="9.140625" style="70"/>
    <col min="9988" max="9989" width="9.7109375" style="70" bestFit="1" customWidth="1"/>
    <col min="9990" max="10001" width="9.140625" style="70"/>
    <col min="10002" max="10002" width="5.7109375" style="70" customWidth="1"/>
    <col min="10003" max="10005" width="8.85546875" style="70" customWidth="1"/>
    <col min="10006" max="10021" width="9.140625" style="70"/>
    <col min="10022" max="10022" width="16.7109375" style="70" bestFit="1" customWidth="1"/>
    <col min="10023" max="10024" width="9.140625" style="70"/>
    <col min="10025" max="10025" width="26" style="70" bestFit="1" customWidth="1"/>
    <col min="10026" max="10243" width="9.140625" style="70"/>
    <col min="10244" max="10245" width="9.7109375" style="70" bestFit="1" customWidth="1"/>
    <col min="10246" max="10257" width="9.140625" style="70"/>
    <col min="10258" max="10258" width="5.7109375" style="70" customWidth="1"/>
    <col min="10259" max="10261" width="8.85546875" style="70" customWidth="1"/>
    <col min="10262" max="10277" width="9.140625" style="70"/>
    <col min="10278" max="10278" width="16.7109375" style="70" bestFit="1" customWidth="1"/>
    <col min="10279" max="10280" width="9.140625" style="70"/>
    <col min="10281" max="10281" width="26" style="70" bestFit="1" customWidth="1"/>
    <col min="10282" max="10499" width="9.140625" style="70"/>
    <col min="10500" max="10501" width="9.7109375" style="70" bestFit="1" customWidth="1"/>
    <col min="10502" max="10513" width="9.140625" style="70"/>
    <col min="10514" max="10514" width="5.7109375" style="70" customWidth="1"/>
    <col min="10515" max="10517" width="8.85546875" style="70" customWidth="1"/>
    <col min="10518" max="10533" width="9.140625" style="70"/>
    <col min="10534" max="10534" width="16.7109375" style="70" bestFit="1" customWidth="1"/>
    <col min="10535" max="10536" width="9.140625" style="70"/>
    <col min="10537" max="10537" width="26" style="70" bestFit="1" customWidth="1"/>
    <col min="10538" max="10755" width="9.140625" style="70"/>
    <col min="10756" max="10757" width="9.7109375" style="70" bestFit="1" customWidth="1"/>
    <col min="10758" max="10769" width="9.140625" style="70"/>
    <col min="10770" max="10770" width="5.7109375" style="70" customWidth="1"/>
    <col min="10771" max="10773" width="8.85546875" style="70" customWidth="1"/>
    <col min="10774" max="10789" width="9.140625" style="70"/>
    <col min="10790" max="10790" width="16.7109375" style="70" bestFit="1" customWidth="1"/>
    <col min="10791" max="10792" width="9.140625" style="70"/>
    <col min="10793" max="10793" width="26" style="70" bestFit="1" customWidth="1"/>
    <col min="10794" max="11011" width="9.140625" style="70"/>
    <col min="11012" max="11013" width="9.7109375" style="70" bestFit="1" customWidth="1"/>
    <col min="11014" max="11025" width="9.140625" style="70"/>
    <col min="11026" max="11026" width="5.7109375" style="70" customWidth="1"/>
    <col min="11027" max="11029" width="8.85546875" style="70" customWidth="1"/>
    <col min="11030" max="11045" width="9.140625" style="70"/>
    <col min="11046" max="11046" width="16.7109375" style="70" bestFit="1" customWidth="1"/>
    <col min="11047" max="11048" width="9.140625" style="70"/>
    <col min="11049" max="11049" width="26" style="70" bestFit="1" customWidth="1"/>
    <col min="11050" max="11267" width="9.140625" style="70"/>
    <col min="11268" max="11269" width="9.7109375" style="70" bestFit="1" customWidth="1"/>
    <col min="11270" max="11281" width="9.140625" style="70"/>
    <col min="11282" max="11282" width="5.7109375" style="70" customWidth="1"/>
    <col min="11283" max="11285" width="8.85546875" style="70" customWidth="1"/>
    <col min="11286" max="11301" width="9.140625" style="70"/>
    <col min="11302" max="11302" width="16.7109375" style="70" bestFit="1" customWidth="1"/>
    <col min="11303" max="11304" width="9.140625" style="70"/>
    <col min="11305" max="11305" width="26" style="70" bestFit="1" customWidth="1"/>
    <col min="11306" max="11523" width="9.140625" style="70"/>
    <col min="11524" max="11525" width="9.7109375" style="70" bestFit="1" customWidth="1"/>
    <col min="11526" max="11537" width="9.140625" style="70"/>
    <col min="11538" max="11538" width="5.7109375" style="70" customWidth="1"/>
    <col min="11539" max="11541" width="8.85546875" style="70" customWidth="1"/>
    <col min="11542" max="11557" width="9.140625" style="70"/>
    <col min="11558" max="11558" width="16.7109375" style="70" bestFit="1" customWidth="1"/>
    <col min="11559" max="11560" width="9.140625" style="70"/>
    <col min="11561" max="11561" width="26" style="70" bestFit="1" customWidth="1"/>
    <col min="11562" max="11779" width="9.140625" style="70"/>
    <col min="11780" max="11781" width="9.7109375" style="70" bestFit="1" customWidth="1"/>
    <col min="11782" max="11793" width="9.140625" style="70"/>
    <col min="11794" max="11794" width="5.7109375" style="70" customWidth="1"/>
    <col min="11795" max="11797" width="8.85546875" style="70" customWidth="1"/>
    <col min="11798" max="11813" width="9.140625" style="70"/>
    <col min="11814" max="11814" width="16.7109375" style="70" bestFit="1" customWidth="1"/>
    <col min="11815" max="11816" width="9.140625" style="70"/>
    <col min="11817" max="11817" width="26" style="70" bestFit="1" customWidth="1"/>
    <col min="11818" max="12035" width="9.140625" style="70"/>
    <col min="12036" max="12037" width="9.7109375" style="70" bestFit="1" customWidth="1"/>
    <col min="12038" max="12049" width="9.140625" style="70"/>
    <col min="12050" max="12050" width="5.7109375" style="70" customWidth="1"/>
    <col min="12051" max="12053" width="8.85546875" style="70" customWidth="1"/>
    <col min="12054" max="12069" width="9.140625" style="70"/>
    <col min="12070" max="12070" width="16.7109375" style="70" bestFit="1" customWidth="1"/>
    <col min="12071" max="12072" width="9.140625" style="70"/>
    <col min="12073" max="12073" width="26" style="70" bestFit="1" customWidth="1"/>
    <col min="12074" max="12291" width="9.140625" style="70"/>
    <col min="12292" max="12293" width="9.7109375" style="70" bestFit="1" customWidth="1"/>
    <col min="12294" max="12305" width="9.140625" style="70"/>
    <col min="12306" max="12306" width="5.7109375" style="70" customWidth="1"/>
    <col min="12307" max="12309" width="8.85546875" style="70" customWidth="1"/>
    <col min="12310" max="12325" width="9.140625" style="70"/>
    <col min="12326" max="12326" width="16.7109375" style="70" bestFit="1" customWidth="1"/>
    <col min="12327" max="12328" width="9.140625" style="70"/>
    <col min="12329" max="12329" width="26" style="70" bestFit="1" customWidth="1"/>
    <col min="12330" max="12547" width="9.140625" style="70"/>
    <col min="12548" max="12549" width="9.7109375" style="70" bestFit="1" customWidth="1"/>
    <col min="12550" max="12561" width="9.140625" style="70"/>
    <col min="12562" max="12562" width="5.7109375" style="70" customWidth="1"/>
    <col min="12563" max="12565" width="8.85546875" style="70" customWidth="1"/>
    <col min="12566" max="12581" width="9.140625" style="70"/>
    <col min="12582" max="12582" width="16.7109375" style="70" bestFit="1" customWidth="1"/>
    <col min="12583" max="12584" width="9.140625" style="70"/>
    <col min="12585" max="12585" width="26" style="70" bestFit="1" customWidth="1"/>
    <col min="12586" max="12803" width="9.140625" style="70"/>
    <col min="12804" max="12805" width="9.7109375" style="70" bestFit="1" customWidth="1"/>
    <col min="12806" max="12817" width="9.140625" style="70"/>
    <col min="12818" max="12818" width="5.7109375" style="70" customWidth="1"/>
    <col min="12819" max="12821" width="8.85546875" style="70" customWidth="1"/>
    <col min="12822" max="12837" width="9.140625" style="70"/>
    <col min="12838" max="12838" width="16.7109375" style="70" bestFit="1" customWidth="1"/>
    <col min="12839" max="12840" width="9.140625" style="70"/>
    <col min="12841" max="12841" width="26" style="70" bestFit="1" customWidth="1"/>
    <col min="12842" max="13059" width="9.140625" style="70"/>
    <col min="13060" max="13061" width="9.7109375" style="70" bestFit="1" customWidth="1"/>
    <col min="13062" max="13073" width="9.140625" style="70"/>
    <col min="13074" max="13074" width="5.7109375" style="70" customWidth="1"/>
    <col min="13075" max="13077" width="8.85546875" style="70" customWidth="1"/>
    <col min="13078" max="13093" width="9.140625" style="70"/>
    <col min="13094" max="13094" width="16.7109375" style="70" bestFit="1" customWidth="1"/>
    <col min="13095" max="13096" width="9.140625" style="70"/>
    <col min="13097" max="13097" width="26" style="70" bestFit="1" customWidth="1"/>
    <col min="13098" max="13315" width="9.140625" style="70"/>
    <col min="13316" max="13317" width="9.7109375" style="70" bestFit="1" customWidth="1"/>
    <col min="13318" max="13329" width="9.140625" style="70"/>
    <col min="13330" max="13330" width="5.7109375" style="70" customWidth="1"/>
    <col min="13331" max="13333" width="8.85546875" style="70" customWidth="1"/>
    <col min="13334" max="13349" width="9.140625" style="70"/>
    <col min="13350" max="13350" width="16.7109375" style="70" bestFit="1" customWidth="1"/>
    <col min="13351" max="13352" width="9.140625" style="70"/>
    <col min="13353" max="13353" width="26" style="70" bestFit="1" customWidth="1"/>
    <col min="13354" max="13571" width="9.140625" style="70"/>
    <col min="13572" max="13573" width="9.7109375" style="70" bestFit="1" customWidth="1"/>
    <col min="13574" max="13585" width="9.140625" style="70"/>
    <col min="13586" max="13586" width="5.7109375" style="70" customWidth="1"/>
    <col min="13587" max="13589" width="8.85546875" style="70" customWidth="1"/>
    <col min="13590" max="13605" width="9.140625" style="70"/>
    <col min="13606" max="13606" width="16.7109375" style="70" bestFit="1" customWidth="1"/>
    <col min="13607" max="13608" width="9.140625" style="70"/>
    <col min="13609" max="13609" width="26" style="70" bestFit="1" customWidth="1"/>
    <col min="13610" max="13827" width="9.140625" style="70"/>
    <col min="13828" max="13829" width="9.7109375" style="70" bestFit="1" customWidth="1"/>
    <col min="13830" max="13841" width="9.140625" style="70"/>
    <col min="13842" max="13842" width="5.7109375" style="70" customWidth="1"/>
    <col min="13843" max="13845" width="8.85546875" style="70" customWidth="1"/>
    <col min="13846" max="13861" width="9.140625" style="70"/>
    <col min="13862" max="13862" width="16.7109375" style="70" bestFit="1" customWidth="1"/>
    <col min="13863" max="13864" width="9.140625" style="70"/>
    <col min="13865" max="13865" width="26" style="70" bestFit="1" customWidth="1"/>
    <col min="13866" max="14083" width="9.140625" style="70"/>
    <col min="14084" max="14085" width="9.7109375" style="70" bestFit="1" customWidth="1"/>
    <col min="14086" max="14097" width="9.140625" style="70"/>
    <col min="14098" max="14098" width="5.7109375" style="70" customWidth="1"/>
    <col min="14099" max="14101" width="8.85546875" style="70" customWidth="1"/>
    <col min="14102" max="14117" width="9.140625" style="70"/>
    <col min="14118" max="14118" width="16.7109375" style="70" bestFit="1" customWidth="1"/>
    <col min="14119" max="14120" width="9.140625" style="70"/>
    <col min="14121" max="14121" width="26" style="70" bestFit="1" customWidth="1"/>
    <col min="14122" max="14339" width="9.140625" style="70"/>
    <col min="14340" max="14341" width="9.7109375" style="70" bestFit="1" customWidth="1"/>
    <col min="14342" max="14353" width="9.140625" style="70"/>
    <col min="14354" max="14354" width="5.7109375" style="70" customWidth="1"/>
    <col min="14355" max="14357" width="8.85546875" style="70" customWidth="1"/>
    <col min="14358" max="14373" width="9.140625" style="70"/>
    <col min="14374" max="14374" width="16.7109375" style="70" bestFit="1" customWidth="1"/>
    <col min="14375" max="14376" width="9.140625" style="70"/>
    <col min="14377" max="14377" width="26" style="70" bestFit="1" customWidth="1"/>
    <col min="14378" max="14595" width="9.140625" style="70"/>
    <col min="14596" max="14597" width="9.7109375" style="70" bestFit="1" customWidth="1"/>
    <col min="14598" max="14609" width="9.140625" style="70"/>
    <col min="14610" max="14610" width="5.7109375" style="70" customWidth="1"/>
    <col min="14611" max="14613" width="8.85546875" style="70" customWidth="1"/>
    <col min="14614" max="14629" width="9.140625" style="70"/>
    <col min="14630" max="14630" width="16.7109375" style="70" bestFit="1" customWidth="1"/>
    <col min="14631" max="14632" width="9.140625" style="70"/>
    <col min="14633" max="14633" width="26" style="70" bestFit="1" customWidth="1"/>
    <col min="14634" max="14851" width="9.140625" style="70"/>
    <col min="14852" max="14853" width="9.7109375" style="70" bestFit="1" customWidth="1"/>
    <col min="14854" max="14865" width="9.140625" style="70"/>
    <col min="14866" max="14866" width="5.7109375" style="70" customWidth="1"/>
    <col min="14867" max="14869" width="8.85546875" style="70" customWidth="1"/>
    <col min="14870" max="14885" width="9.140625" style="70"/>
    <col min="14886" max="14886" width="16.7109375" style="70" bestFit="1" customWidth="1"/>
    <col min="14887" max="14888" width="9.140625" style="70"/>
    <col min="14889" max="14889" width="26" style="70" bestFit="1" customWidth="1"/>
    <col min="14890" max="15107" width="9.140625" style="70"/>
    <col min="15108" max="15109" width="9.7109375" style="70" bestFit="1" customWidth="1"/>
    <col min="15110" max="15121" width="9.140625" style="70"/>
    <col min="15122" max="15122" width="5.7109375" style="70" customWidth="1"/>
    <col min="15123" max="15125" width="8.85546875" style="70" customWidth="1"/>
    <col min="15126" max="15141" width="9.140625" style="70"/>
    <col min="15142" max="15142" width="16.7109375" style="70" bestFit="1" customWidth="1"/>
    <col min="15143" max="15144" width="9.140625" style="70"/>
    <col min="15145" max="15145" width="26" style="70" bestFit="1" customWidth="1"/>
    <col min="15146" max="15363" width="9.140625" style="70"/>
    <col min="15364" max="15365" width="9.7109375" style="70" bestFit="1" customWidth="1"/>
    <col min="15366" max="15377" width="9.140625" style="70"/>
    <col min="15378" max="15378" width="5.7109375" style="70" customWidth="1"/>
    <col min="15379" max="15381" width="8.85546875" style="70" customWidth="1"/>
    <col min="15382" max="15397" width="9.140625" style="70"/>
    <col min="15398" max="15398" width="16.7109375" style="70" bestFit="1" customWidth="1"/>
    <col min="15399" max="15400" width="9.140625" style="70"/>
    <col min="15401" max="15401" width="26" style="70" bestFit="1" customWidth="1"/>
    <col min="15402" max="15619" width="9.140625" style="70"/>
    <col min="15620" max="15621" width="9.7109375" style="70" bestFit="1" customWidth="1"/>
    <col min="15622" max="15633" width="9.140625" style="70"/>
    <col min="15634" max="15634" width="5.7109375" style="70" customWidth="1"/>
    <col min="15635" max="15637" width="8.85546875" style="70" customWidth="1"/>
    <col min="15638" max="15653" width="9.140625" style="70"/>
    <col min="15654" max="15654" width="16.7109375" style="70" bestFit="1" customWidth="1"/>
    <col min="15655" max="15656" width="9.140625" style="70"/>
    <col min="15657" max="15657" width="26" style="70" bestFit="1" customWidth="1"/>
    <col min="15658" max="15875" width="9.140625" style="70"/>
    <col min="15876" max="15877" width="9.7109375" style="70" bestFit="1" customWidth="1"/>
    <col min="15878" max="15889" width="9.140625" style="70"/>
    <col min="15890" max="15890" width="5.7109375" style="70" customWidth="1"/>
    <col min="15891" max="15893" width="8.85546875" style="70" customWidth="1"/>
    <col min="15894" max="15909" width="9.140625" style="70"/>
    <col min="15910" max="15910" width="16.7109375" style="70" bestFit="1" customWidth="1"/>
    <col min="15911" max="15912" width="9.140625" style="70"/>
    <col min="15913" max="15913" width="26" style="70" bestFit="1" customWidth="1"/>
    <col min="15914" max="16131" width="9.140625" style="70"/>
    <col min="16132" max="16133" width="9.7109375" style="70" bestFit="1" customWidth="1"/>
    <col min="16134" max="16145" width="9.140625" style="70"/>
    <col min="16146" max="16146" width="5.7109375" style="70" customWidth="1"/>
    <col min="16147" max="16149" width="8.85546875" style="70" customWidth="1"/>
    <col min="16150" max="16165" width="9.140625" style="70"/>
    <col min="16166" max="16166" width="16.7109375" style="70" bestFit="1" customWidth="1"/>
    <col min="16167" max="16168" width="9.140625" style="70"/>
    <col min="16169" max="16169" width="26" style="70" bestFit="1" customWidth="1"/>
    <col min="16170" max="16384" width="9.140625" style="70"/>
  </cols>
  <sheetData>
    <row r="1" spans="1:46" s="166" customFormat="1" ht="9" customHeight="1">
      <c r="A1" s="162"/>
      <c r="B1" s="162"/>
      <c r="C1" s="163"/>
      <c r="D1" s="163"/>
      <c r="E1" s="163"/>
      <c r="F1" s="163"/>
      <c r="G1" s="164"/>
      <c r="H1" s="164"/>
      <c r="I1" s="164"/>
      <c r="J1" s="164"/>
      <c r="K1" s="163"/>
      <c r="L1" s="164"/>
      <c r="M1" s="164"/>
      <c r="N1" s="163"/>
      <c r="O1" s="163"/>
      <c r="P1" s="165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</row>
    <row r="2" spans="1:46" s="166" customFormat="1">
      <c r="A2" s="251" t="s">
        <v>605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251"/>
      <c r="AN2" s="251"/>
      <c r="AO2" s="251"/>
      <c r="AP2" s="167"/>
      <c r="AQ2" s="167"/>
      <c r="AR2" s="167"/>
      <c r="AS2" s="167"/>
      <c r="AT2" s="167"/>
    </row>
    <row r="3" spans="1:46" s="166" customFormat="1">
      <c r="A3" s="252" t="s">
        <v>514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M3" s="252"/>
      <c r="AN3" s="252"/>
      <c r="AO3" s="252"/>
    </row>
    <row r="4" spans="1:46" s="166" customFormat="1">
      <c r="A4" s="168"/>
      <c r="B4" s="169"/>
      <c r="C4" s="170"/>
      <c r="D4" s="171"/>
      <c r="E4" s="171"/>
      <c r="F4" s="171"/>
      <c r="G4" s="172"/>
      <c r="H4" s="172"/>
      <c r="I4" s="172"/>
      <c r="J4" s="172"/>
      <c r="K4" s="171"/>
      <c r="L4" s="172"/>
      <c r="M4" s="172"/>
      <c r="N4" s="171"/>
      <c r="O4" s="171"/>
      <c r="P4" s="173"/>
      <c r="Q4" s="171"/>
      <c r="R4" s="171"/>
      <c r="S4" s="171"/>
      <c r="T4" s="174"/>
      <c r="U4" s="174"/>
      <c r="V4" s="174"/>
      <c r="W4" s="174"/>
      <c r="X4" s="174"/>
      <c r="Y4" s="174"/>
      <c r="Z4" s="174"/>
      <c r="AA4" s="171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</row>
    <row r="5" spans="1:46" s="166" customFormat="1">
      <c r="A5" s="168" t="s">
        <v>33</v>
      </c>
      <c r="B5" s="169"/>
      <c r="C5" s="170" t="s">
        <v>606</v>
      </c>
      <c r="D5" s="171"/>
      <c r="E5" s="171"/>
      <c r="F5" s="171"/>
      <c r="G5" s="172"/>
      <c r="H5" s="172"/>
      <c r="I5" s="172"/>
      <c r="J5" s="172"/>
      <c r="K5" s="171"/>
      <c r="L5" s="172"/>
      <c r="M5" s="172"/>
      <c r="N5" s="171"/>
      <c r="O5" s="171"/>
      <c r="P5" s="173"/>
      <c r="Q5" s="171"/>
      <c r="R5" s="171"/>
      <c r="S5" s="171"/>
      <c r="T5" s="174"/>
      <c r="U5" s="174"/>
      <c r="V5" s="174"/>
      <c r="W5" s="174"/>
      <c r="X5" s="174"/>
      <c r="Y5" s="174"/>
      <c r="Z5" s="174"/>
      <c r="AA5" s="171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</row>
    <row r="6" spans="1:46" s="166" customFormat="1" ht="6.75" customHeight="1">
      <c r="A6" s="176"/>
      <c r="B6" s="176"/>
      <c r="C6" s="171"/>
      <c r="D6" s="171"/>
      <c r="E6" s="171"/>
      <c r="F6" s="171"/>
      <c r="G6" s="172"/>
      <c r="H6" s="172"/>
      <c r="I6" s="172"/>
      <c r="J6" s="172"/>
      <c r="K6" s="171"/>
      <c r="L6" s="172"/>
      <c r="M6" s="172"/>
      <c r="N6" s="171"/>
      <c r="O6" s="171"/>
      <c r="P6" s="173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</row>
    <row r="7" spans="1:46">
      <c r="A7" s="245" t="s">
        <v>458</v>
      </c>
      <c r="B7" s="253" t="s">
        <v>566</v>
      </c>
      <c r="C7" s="253"/>
      <c r="D7" s="250" t="s">
        <v>567</v>
      </c>
      <c r="E7" s="250"/>
      <c r="F7" s="248" t="s">
        <v>568</v>
      </c>
      <c r="G7" s="250" t="s">
        <v>569</v>
      </c>
      <c r="H7" s="250"/>
      <c r="I7" s="250" t="s">
        <v>570</v>
      </c>
      <c r="J7" s="250"/>
      <c r="K7" s="250"/>
      <c r="L7" s="250" t="s">
        <v>571</v>
      </c>
      <c r="M7" s="250"/>
      <c r="N7" s="250"/>
      <c r="O7" s="250" t="s">
        <v>572</v>
      </c>
      <c r="P7" s="250"/>
      <c r="Q7" s="250"/>
      <c r="R7" s="250"/>
      <c r="S7" s="250"/>
      <c r="T7" s="250"/>
      <c r="U7" s="250"/>
      <c r="V7" s="255" t="s">
        <v>573</v>
      </c>
      <c r="W7" s="255" t="s">
        <v>574</v>
      </c>
      <c r="X7" s="255" t="s">
        <v>575</v>
      </c>
      <c r="Y7" s="255"/>
      <c r="Z7" s="247" t="s">
        <v>576</v>
      </c>
      <c r="AA7" s="256"/>
      <c r="AB7" s="256"/>
      <c r="AC7" s="256"/>
      <c r="AD7" s="256"/>
      <c r="AE7" s="256"/>
      <c r="AF7" s="257" t="s">
        <v>603</v>
      </c>
      <c r="AG7" s="247" t="s">
        <v>577</v>
      </c>
      <c r="AH7" s="247"/>
      <c r="AI7" s="247"/>
      <c r="AJ7" s="258" t="s">
        <v>578</v>
      </c>
      <c r="AK7" s="245" t="s">
        <v>579</v>
      </c>
      <c r="AL7" s="255" t="s">
        <v>580</v>
      </c>
      <c r="AM7" s="255" t="s">
        <v>581</v>
      </c>
      <c r="AN7" s="255" t="s">
        <v>320</v>
      </c>
      <c r="AO7" s="245" t="s">
        <v>582</v>
      </c>
    </row>
    <row r="8" spans="1:46">
      <c r="A8" s="245"/>
      <c r="B8" s="255" t="s">
        <v>583</v>
      </c>
      <c r="C8" s="255" t="s">
        <v>584</v>
      </c>
      <c r="D8" s="245" t="s">
        <v>585</v>
      </c>
      <c r="E8" s="245" t="s">
        <v>586</v>
      </c>
      <c r="F8" s="249"/>
      <c r="G8" s="245" t="s">
        <v>587</v>
      </c>
      <c r="H8" s="245" t="s">
        <v>588</v>
      </c>
      <c r="I8" s="254" t="s">
        <v>589</v>
      </c>
      <c r="J8" s="254" t="s">
        <v>590</v>
      </c>
      <c r="K8" s="94" t="s">
        <v>591</v>
      </c>
      <c r="L8" s="245" t="s">
        <v>589</v>
      </c>
      <c r="M8" s="245" t="s">
        <v>590</v>
      </c>
      <c r="N8" s="94" t="s">
        <v>591</v>
      </c>
      <c r="O8" s="245" t="s">
        <v>592</v>
      </c>
      <c r="P8" s="245"/>
      <c r="Q8" s="245"/>
      <c r="R8" s="245" t="s">
        <v>593</v>
      </c>
      <c r="S8" s="246" t="s">
        <v>594</v>
      </c>
      <c r="T8" s="246"/>
      <c r="U8" s="246"/>
      <c r="V8" s="255"/>
      <c r="W8" s="255"/>
      <c r="X8" s="255"/>
      <c r="Y8" s="255"/>
      <c r="Z8" s="247" t="s">
        <v>595</v>
      </c>
      <c r="AA8" s="247"/>
      <c r="AB8" s="247"/>
      <c r="AC8" s="247" t="s">
        <v>596</v>
      </c>
      <c r="AD8" s="247"/>
      <c r="AE8" s="247"/>
      <c r="AF8" s="257"/>
      <c r="AG8" s="247"/>
      <c r="AH8" s="247"/>
      <c r="AI8" s="247"/>
      <c r="AJ8" s="258"/>
      <c r="AK8" s="245"/>
      <c r="AL8" s="255"/>
      <c r="AM8" s="255"/>
      <c r="AN8" s="255"/>
      <c r="AO8" s="245"/>
    </row>
    <row r="9" spans="1:46">
      <c r="A9" s="245"/>
      <c r="B9" s="255"/>
      <c r="C9" s="255"/>
      <c r="D9" s="245"/>
      <c r="E9" s="245"/>
      <c r="F9" s="249"/>
      <c r="G9" s="245"/>
      <c r="H9" s="245"/>
      <c r="I9" s="254"/>
      <c r="J9" s="254"/>
      <c r="K9" s="94" t="s">
        <v>597</v>
      </c>
      <c r="L9" s="245"/>
      <c r="M9" s="245"/>
      <c r="N9" s="94" t="s">
        <v>597</v>
      </c>
      <c r="O9" s="95" t="s">
        <v>598</v>
      </c>
      <c r="P9" s="95" t="s">
        <v>289</v>
      </c>
      <c r="Q9" s="95" t="s">
        <v>599</v>
      </c>
      <c r="R9" s="245"/>
      <c r="S9" s="95" t="s">
        <v>598</v>
      </c>
      <c r="T9" s="95" t="s">
        <v>289</v>
      </c>
      <c r="U9" s="95" t="s">
        <v>599</v>
      </c>
      <c r="V9" s="255"/>
      <c r="W9" s="255"/>
      <c r="X9" s="96" t="s">
        <v>572</v>
      </c>
      <c r="Y9" s="96" t="s">
        <v>600</v>
      </c>
      <c r="Z9" s="95" t="s">
        <v>598</v>
      </c>
      <c r="AA9" s="95" t="s">
        <v>289</v>
      </c>
      <c r="AB9" s="95" t="s">
        <v>599</v>
      </c>
      <c r="AC9" s="95" t="s">
        <v>598</v>
      </c>
      <c r="AD9" s="95" t="s">
        <v>289</v>
      </c>
      <c r="AE9" s="95" t="s">
        <v>599</v>
      </c>
      <c r="AF9" s="257"/>
      <c r="AG9" s="95" t="s">
        <v>598</v>
      </c>
      <c r="AH9" s="95" t="s">
        <v>289</v>
      </c>
      <c r="AI9" s="95" t="s">
        <v>599</v>
      </c>
      <c r="AJ9" s="258"/>
      <c r="AK9" s="245"/>
      <c r="AL9" s="255"/>
      <c r="AM9" s="255"/>
      <c r="AN9" s="255"/>
      <c r="AO9" s="245"/>
    </row>
    <row r="10" spans="1:46">
      <c r="A10" s="97">
        <v>1</v>
      </c>
      <c r="B10" s="97" t="s">
        <v>628</v>
      </c>
      <c r="C10" s="98" t="str">
        <f>Collar!A5</f>
        <v>DH11_01</v>
      </c>
      <c r="D10" s="99">
        <v>43924</v>
      </c>
      <c r="E10" s="99">
        <v>43928</v>
      </c>
      <c r="F10" s="97">
        <v>11</v>
      </c>
      <c r="G10" s="97" t="s">
        <v>627</v>
      </c>
      <c r="H10" s="97" t="s">
        <v>614</v>
      </c>
      <c r="I10" s="100">
        <v>359611</v>
      </c>
      <c r="J10" s="100">
        <v>9590552</v>
      </c>
      <c r="K10" s="100">
        <v>84</v>
      </c>
      <c r="L10" s="202">
        <v>359619.03399999999</v>
      </c>
      <c r="M10" s="202">
        <v>9590558.0390000008</v>
      </c>
      <c r="N10" s="202">
        <v>69.816000000000003</v>
      </c>
      <c r="O10" s="101">
        <v>0</v>
      </c>
      <c r="P10" s="101">
        <v>100</v>
      </c>
      <c r="Q10" s="102">
        <f>P10-O10</f>
        <v>100</v>
      </c>
      <c r="R10" s="97"/>
      <c r="S10" s="119"/>
      <c r="T10" s="119"/>
      <c r="U10" s="102"/>
      <c r="V10" s="102"/>
      <c r="W10" s="100"/>
      <c r="X10" s="102">
        <v>100</v>
      </c>
      <c r="Y10" s="102">
        <v>95.98</v>
      </c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97"/>
      <c r="AK10" s="97"/>
      <c r="AL10" s="97"/>
      <c r="AM10" s="97"/>
      <c r="AN10" s="97" t="s">
        <v>613</v>
      </c>
      <c r="AO10" s="97"/>
    </row>
    <row r="11" spans="1:46">
      <c r="A11" s="103"/>
      <c r="B11" s="103"/>
      <c r="C11" s="103"/>
      <c r="D11" s="103"/>
      <c r="E11" s="103"/>
      <c r="F11" s="103"/>
      <c r="G11" s="104"/>
      <c r="H11" s="103"/>
      <c r="I11" s="105"/>
      <c r="J11" s="105"/>
      <c r="K11" s="103"/>
      <c r="L11" s="103"/>
      <c r="M11" s="103"/>
      <c r="N11" s="103"/>
      <c r="O11" s="106"/>
      <c r="P11" s="106"/>
      <c r="Q11" s="107"/>
      <c r="R11" s="103">
        <v>0</v>
      </c>
      <c r="S11" s="118"/>
      <c r="T11" s="118"/>
      <c r="U11" s="108">
        <f>T11-S11</f>
        <v>0</v>
      </c>
      <c r="V11" s="108"/>
      <c r="W11" s="105"/>
      <c r="X11" s="108"/>
      <c r="Y11" s="120"/>
      <c r="Z11" s="109"/>
      <c r="AA11" s="122"/>
      <c r="AB11" s="108"/>
      <c r="AC11" s="108"/>
      <c r="AD11" s="108"/>
      <c r="AE11" s="108"/>
      <c r="AF11" s="108"/>
      <c r="AG11" s="108"/>
      <c r="AH11" s="108"/>
      <c r="AI11" s="108"/>
      <c r="AJ11" s="108"/>
      <c r="AK11" s="103"/>
      <c r="AL11" s="110"/>
      <c r="AM11" s="103"/>
      <c r="AN11" s="103"/>
      <c r="AO11" s="110"/>
    </row>
    <row r="12" spans="1:46">
      <c r="A12" s="103"/>
      <c r="B12" s="103"/>
      <c r="C12" s="103"/>
      <c r="D12" s="103"/>
      <c r="E12" s="103"/>
      <c r="F12" s="103"/>
      <c r="G12" s="104"/>
      <c r="H12" s="103"/>
      <c r="I12" s="105"/>
      <c r="J12" s="105"/>
      <c r="K12" s="103"/>
      <c r="L12" s="103"/>
      <c r="M12" s="103"/>
      <c r="N12" s="103"/>
      <c r="O12" s="106"/>
      <c r="P12" s="106"/>
      <c r="Q12" s="107"/>
      <c r="R12" s="103"/>
      <c r="S12" s="117"/>
      <c r="T12" s="117"/>
      <c r="U12" s="108">
        <f t="shared" ref="U12:U20" si="0">T12-S12</f>
        <v>0</v>
      </c>
      <c r="V12" s="108"/>
      <c r="W12" s="105"/>
      <c r="X12" s="108"/>
      <c r="Y12" s="121"/>
      <c r="Z12" s="117">
        <v>0</v>
      </c>
      <c r="AA12" s="123">
        <v>0</v>
      </c>
      <c r="AB12" s="108">
        <f>AA12-Z12</f>
        <v>0</v>
      </c>
      <c r="AC12" s="108">
        <v>27.62</v>
      </c>
      <c r="AD12" s="108">
        <v>28.6</v>
      </c>
      <c r="AE12" s="108">
        <f>AD12-AC12</f>
        <v>0.98000000000000043</v>
      </c>
      <c r="AF12" s="108" t="s">
        <v>604</v>
      </c>
      <c r="AG12" s="108">
        <f>AC12</f>
        <v>27.62</v>
      </c>
      <c r="AH12" s="108">
        <f t="shared" ref="AH12:AH20" si="1">AD12</f>
        <v>28.6</v>
      </c>
      <c r="AI12" s="127">
        <f>AH12-AG12</f>
        <v>0.98000000000000043</v>
      </c>
      <c r="AJ12" s="128">
        <f>AB12/AI12*100</f>
        <v>0</v>
      </c>
      <c r="AK12" s="129" t="s">
        <v>616</v>
      </c>
      <c r="AL12" s="129">
        <v>0</v>
      </c>
      <c r="AM12" s="103"/>
      <c r="AN12" s="103"/>
      <c r="AO12" s="141">
        <v>0</v>
      </c>
    </row>
    <row r="13" spans="1:46">
      <c r="A13" s="103"/>
      <c r="B13" s="103"/>
      <c r="C13" s="103"/>
      <c r="D13" s="103"/>
      <c r="E13" s="103"/>
      <c r="F13" s="103"/>
      <c r="G13" s="104"/>
      <c r="H13" s="103"/>
      <c r="I13" s="105"/>
      <c r="J13" s="105"/>
      <c r="K13" s="103"/>
      <c r="L13" s="103"/>
      <c r="M13" s="103"/>
      <c r="N13" s="103"/>
      <c r="O13" s="106"/>
      <c r="P13" s="106"/>
      <c r="Q13" s="107"/>
      <c r="R13" s="103"/>
      <c r="S13" s="117"/>
      <c r="T13" s="117"/>
      <c r="U13" s="108"/>
      <c r="V13" s="108"/>
      <c r="W13" s="105"/>
      <c r="X13" s="108"/>
      <c r="Y13" s="121"/>
      <c r="Z13" s="117"/>
      <c r="AA13" s="123"/>
      <c r="AB13" s="108"/>
      <c r="AC13" s="108">
        <v>28.6</v>
      </c>
      <c r="AD13" s="108">
        <v>28.65</v>
      </c>
      <c r="AE13" s="108">
        <f t="shared" ref="AE13:AE20" si="2">AD13-AC13</f>
        <v>4.9999999999997158E-2</v>
      </c>
      <c r="AF13" s="108"/>
      <c r="AG13" s="108">
        <f t="shared" ref="AG13:AG20" si="3">AC13</f>
        <v>28.6</v>
      </c>
      <c r="AH13" s="108">
        <f t="shared" si="1"/>
        <v>28.65</v>
      </c>
      <c r="AI13" s="127">
        <f t="shared" ref="AI13:AI20" si="4">AH13-AG13</f>
        <v>4.9999999999997158E-2</v>
      </c>
      <c r="AJ13" s="128"/>
      <c r="AK13" s="129" t="s">
        <v>617</v>
      </c>
      <c r="AL13" s="129"/>
      <c r="AM13" s="103"/>
      <c r="AN13" s="103"/>
      <c r="AO13" s="141"/>
    </row>
    <row r="14" spans="1:46">
      <c r="A14" s="103"/>
      <c r="B14" s="103"/>
      <c r="C14" s="103"/>
      <c r="D14" s="103"/>
      <c r="E14" s="103"/>
      <c r="F14" s="103"/>
      <c r="G14" s="104"/>
      <c r="H14" s="103"/>
      <c r="I14" s="105"/>
      <c r="J14" s="105"/>
      <c r="K14" s="103"/>
      <c r="L14" s="103"/>
      <c r="M14" s="103"/>
      <c r="N14" s="103"/>
      <c r="O14" s="106"/>
      <c r="P14" s="106"/>
      <c r="Q14" s="107"/>
      <c r="R14" s="103"/>
      <c r="S14" s="117"/>
      <c r="T14" s="117"/>
      <c r="U14" s="108"/>
      <c r="V14" s="108"/>
      <c r="W14" s="105"/>
      <c r="X14" s="108"/>
      <c r="Y14" s="121"/>
      <c r="Z14" s="117"/>
      <c r="AA14" s="123"/>
      <c r="AB14" s="108"/>
      <c r="AC14" s="108">
        <v>28.65</v>
      </c>
      <c r="AD14" s="108">
        <v>29.2</v>
      </c>
      <c r="AE14" s="108">
        <f t="shared" si="2"/>
        <v>0.55000000000000071</v>
      </c>
      <c r="AF14" s="108"/>
      <c r="AG14" s="108">
        <f t="shared" si="3"/>
        <v>28.65</v>
      </c>
      <c r="AH14" s="108">
        <f t="shared" si="1"/>
        <v>29.2</v>
      </c>
      <c r="AI14" s="127">
        <f t="shared" si="4"/>
        <v>0.55000000000000071</v>
      </c>
      <c r="AJ14" s="128"/>
      <c r="AK14" s="129" t="s">
        <v>616</v>
      </c>
      <c r="AL14" s="129"/>
      <c r="AM14" s="103"/>
      <c r="AN14" s="103"/>
      <c r="AO14" s="141"/>
    </row>
    <row r="15" spans="1:46">
      <c r="A15" s="103"/>
      <c r="B15" s="103"/>
      <c r="C15" s="103"/>
      <c r="D15" s="103"/>
      <c r="E15" s="103"/>
      <c r="F15" s="103"/>
      <c r="G15" s="104"/>
      <c r="H15" s="103"/>
      <c r="I15" s="105"/>
      <c r="J15" s="105"/>
      <c r="K15" s="103"/>
      <c r="L15" s="103"/>
      <c r="M15" s="103"/>
      <c r="N15" s="103"/>
      <c r="O15" s="106"/>
      <c r="P15" s="106"/>
      <c r="Q15" s="107"/>
      <c r="R15" s="103"/>
      <c r="S15" s="117"/>
      <c r="T15" s="117"/>
      <c r="U15" s="108"/>
      <c r="V15" s="108"/>
      <c r="W15" s="105"/>
      <c r="X15" s="108"/>
      <c r="Y15" s="121"/>
      <c r="Z15" s="117"/>
      <c r="AA15" s="123"/>
      <c r="AB15" s="108"/>
      <c r="AC15" s="108">
        <v>41.85</v>
      </c>
      <c r="AD15" s="108">
        <v>43.45</v>
      </c>
      <c r="AE15" s="108">
        <f t="shared" si="2"/>
        <v>1.6000000000000014</v>
      </c>
      <c r="AF15" s="108"/>
      <c r="AG15" s="108">
        <f t="shared" si="3"/>
        <v>41.85</v>
      </c>
      <c r="AH15" s="108">
        <f t="shared" si="1"/>
        <v>43.45</v>
      </c>
      <c r="AI15" s="127">
        <f t="shared" si="4"/>
        <v>1.6000000000000014</v>
      </c>
      <c r="AJ15" s="128"/>
      <c r="AK15" s="129" t="s">
        <v>618</v>
      </c>
      <c r="AL15" s="129"/>
      <c r="AM15" s="103"/>
      <c r="AN15" s="103"/>
      <c r="AO15" s="141"/>
    </row>
    <row r="16" spans="1:46">
      <c r="A16" s="103"/>
      <c r="B16" s="103"/>
      <c r="C16" s="103"/>
      <c r="D16" s="103"/>
      <c r="E16" s="103"/>
      <c r="F16" s="103"/>
      <c r="G16" s="104"/>
      <c r="H16" s="103"/>
      <c r="I16" s="105"/>
      <c r="J16" s="105"/>
      <c r="K16" s="103"/>
      <c r="L16" s="103"/>
      <c r="M16" s="103"/>
      <c r="N16" s="103"/>
      <c r="O16" s="106"/>
      <c r="P16" s="106"/>
      <c r="Q16" s="107"/>
      <c r="R16" s="103"/>
      <c r="S16" s="117"/>
      <c r="T16" s="117"/>
      <c r="U16" s="108"/>
      <c r="V16" s="108"/>
      <c r="W16" s="105"/>
      <c r="X16" s="108"/>
      <c r="Y16" s="121"/>
      <c r="Z16" s="117"/>
      <c r="AA16" s="123"/>
      <c r="AB16" s="108"/>
      <c r="AC16" s="108">
        <v>58.92</v>
      </c>
      <c r="AD16" s="108">
        <v>60.25</v>
      </c>
      <c r="AE16" s="108">
        <f t="shared" si="2"/>
        <v>1.3299999999999983</v>
      </c>
      <c r="AF16" s="108"/>
      <c r="AG16" s="108">
        <f t="shared" si="3"/>
        <v>58.92</v>
      </c>
      <c r="AH16" s="108">
        <f t="shared" si="1"/>
        <v>60.25</v>
      </c>
      <c r="AI16" s="127">
        <f t="shared" si="4"/>
        <v>1.3299999999999983</v>
      </c>
      <c r="AJ16" s="128"/>
      <c r="AK16" s="129" t="s">
        <v>619</v>
      </c>
      <c r="AL16" s="129"/>
      <c r="AM16" s="103"/>
      <c r="AN16" s="103"/>
      <c r="AO16" s="141"/>
    </row>
    <row r="17" spans="1:41">
      <c r="A17" s="103"/>
      <c r="B17" s="103"/>
      <c r="C17" s="103"/>
      <c r="D17" s="103"/>
      <c r="E17" s="103"/>
      <c r="F17" s="103"/>
      <c r="G17" s="104"/>
      <c r="H17" s="103"/>
      <c r="I17" s="105"/>
      <c r="J17" s="105"/>
      <c r="K17" s="103"/>
      <c r="L17" s="103"/>
      <c r="M17" s="103"/>
      <c r="N17" s="103"/>
      <c r="O17" s="106"/>
      <c r="P17" s="106"/>
      <c r="Q17" s="107"/>
      <c r="R17" s="103"/>
      <c r="S17" s="117"/>
      <c r="T17" s="117"/>
      <c r="U17" s="108"/>
      <c r="V17" s="108"/>
      <c r="W17" s="105"/>
      <c r="X17" s="108"/>
      <c r="Y17" s="121"/>
      <c r="Z17" s="117"/>
      <c r="AA17" s="123"/>
      <c r="AB17" s="108"/>
      <c r="AC17" s="108">
        <v>60.45</v>
      </c>
      <c r="AD17" s="108">
        <v>61.4</v>
      </c>
      <c r="AE17" s="108">
        <f t="shared" si="2"/>
        <v>0.94999999999999574</v>
      </c>
      <c r="AF17" s="108"/>
      <c r="AG17" s="108">
        <f t="shared" si="3"/>
        <v>60.45</v>
      </c>
      <c r="AH17" s="108">
        <f t="shared" si="1"/>
        <v>61.4</v>
      </c>
      <c r="AI17" s="127">
        <f t="shared" si="4"/>
        <v>0.94999999999999574</v>
      </c>
      <c r="AJ17" s="128"/>
      <c r="AK17" s="129" t="s">
        <v>619</v>
      </c>
      <c r="AL17" s="129"/>
      <c r="AM17" s="103"/>
      <c r="AN17" s="103"/>
      <c r="AO17" s="141"/>
    </row>
    <row r="18" spans="1:41">
      <c r="A18" s="103"/>
      <c r="B18" s="103"/>
      <c r="C18" s="103"/>
      <c r="D18" s="103"/>
      <c r="E18" s="103"/>
      <c r="F18" s="103"/>
      <c r="G18" s="104"/>
      <c r="H18" s="103"/>
      <c r="I18" s="105"/>
      <c r="J18" s="105"/>
      <c r="K18" s="103"/>
      <c r="L18" s="103"/>
      <c r="M18" s="103"/>
      <c r="N18" s="103"/>
      <c r="O18" s="106"/>
      <c r="P18" s="106"/>
      <c r="Q18" s="107"/>
      <c r="R18" s="103"/>
      <c r="S18" s="117"/>
      <c r="T18" s="117"/>
      <c r="U18" s="108"/>
      <c r="V18" s="108"/>
      <c r="W18" s="105"/>
      <c r="X18" s="108"/>
      <c r="Y18" s="121"/>
      <c r="Z18" s="117"/>
      <c r="AA18" s="123"/>
      <c r="AB18" s="108"/>
      <c r="AC18" s="108">
        <v>61.45</v>
      </c>
      <c r="AD18" s="108">
        <v>62.05</v>
      </c>
      <c r="AE18" s="108">
        <f t="shared" si="2"/>
        <v>0.59999999999999432</v>
      </c>
      <c r="AF18" s="108"/>
      <c r="AG18" s="108">
        <f t="shared" si="3"/>
        <v>61.45</v>
      </c>
      <c r="AH18" s="108">
        <f t="shared" si="1"/>
        <v>62.05</v>
      </c>
      <c r="AI18" s="127">
        <f t="shared" si="4"/>
        <v>0.59999999999999432</v>
      </c>
      <c r="AJ18" s="128"/>
      <c r="AK18" s="129" t="s">
        <v>619</v>
      </c>
      <c r="AL18" s="129"/>
      <c r="AM18" s="103"/>
      <c r="AN18" s="103"/>
      <c r="AO18" s="141"/>
    </row>
    <row r="19" spans="1:41">
      <c r="A19" s="103"/>
      <c r="B19" s="103"/>
      <c r="C19" s="103"/>
      <c r="D19" s="103"/>
      <c r="E19" s="103"/>
      <c r="F19" s="103"/>
      <c r="G19" s="104"/>
      <c r="H19" s="103"/>
      <c r="I19" s="105"/>
      <c r="J19" s="105"/>
      <c r="K19" s="103"/>
      <c r="L19" s="103"/>
      <c r="M19" s="103"/>
      <c r="N19" s="103"/>
      <c r="O19" s="106"/>
      <c r="P19" s="106"/>
      <c r="Q19" s="107"/>
      <c r="R19" s="103"/>
      <c r="S19" s="117"/>
      <c r="T19" s="117"/>
      <c r="U19" s="108"/>
      <c r="V19" s="108"/>
      <c r="W19" s="105"/>
      <c r="X19" s="108"/>
      <c r="Y19" s="121"/>
      <c r="Z19" s="117"/>
      <c r="AA19" s="123"/>
      <c r="AB19" s="108"/>
      <c r="AC19" s="108">
        <v>80.05</v>
      </c>
      <c r="AD19" s="108">
        <v>81.08</v>
      </c>
      <c r="AE19" s="108">
        <f t="shared" si="2"/>
        <v>1.0300000000000011</v>
      </c>
      <c r="AF19" s="108"/>
      <c r="AG19" s="108">
        <f t="shared" si="3"/>
        <v>80.05</v>
      </c>
      <c r="AH19" s="108">
        <f t="shared" si="1"/>
        <v>81.08</v>
      </c>
      <c r="AI19" s="127">
        <f t="shared" si="4"/>
        <v>1.0300000000000011</v>
      </c>
      <c r="AJ19" s="128"/>
      <c r="AK19" s="129" t="s">
        <v>620</v>
      </c>
      <c r="AL19" s="129"/>
      <c r="AM19" s="103"/>
      <c r="AN19" s="103"/>
      <c r="AO19" s="141"/>
    </row>
    <row r="20" spans="1:41">
      <c r="A20" s="103"/>
      <c r="B20" s="103"/>
      <c r="C20" s="103"/>
      <c r="D20" s="103"/>
      <c r="E20" s="103"/>
      <c r="F20" s="103"/>
      <c r="G20" s="104"/>
      <c r="H20" s="103"/>
      <c r="I20" s="105"/>
      <c r="J20" s="105"/>
      <c r="K20" s="103"/>
      <c r="L20" s="103"/>
      <c r="M20" s="103"/>
      <c r="N20" s="103"/>
      <c r="O20" s="106"/>
      <c r="P20" s="106"/>
      <c r="Q20" s="107"/>
      <c r="R20" s="103"/>
      <c r="S20" s="117"/>
      <c r="T20" s="117"/>
      <c r="U20" s="108">
        <f t="shared" si="0"/>
        <v>0</v>
      </c>
      <c r="V20" s="108"/>
      <c r="W20" s="105"/>
      <c r="X20" s="108"/>
      <c r="Y20" s="121"/>
      <c r="Z20" s="117"/>
      <c r="AA20" s="123"/>
      <c r="AB20" s="108"/>
      <c r="AC20" s="108">
        <v>85.65</v>
      </c>
      <c r="AD20" s="108">
        <v>87.6</v>
      </c>
      <c r="AE20" s="108">
        <f t="shared" si="2"/>
        <v>1.9499999999999886</v>
      </c>
      <c r="AF20" s="108"/>
      <c r="AG20" s="108">
        <f t="shared" si="3"/>
        <v>85.65</v>
      </c>
      <c r="AH20" s="108">
        <f t="shared" si="1"/>
        <v>87.6</v>
      </c>
      <c r="AI20" s="127">
        <f t="shared" si="4"/>
        <v>1.9499999999999886</v>
      </c>
      <c r="AJ20" s="108"/>
      <c r="AK20" s="103" t="s">
        <v>621</v>
      </c>
      <c r="AL20" s="110"/>
      <c r="AM20" s="103"/>
      <c r="AN20" s="103"/>
      <c r="AO20" s="110"/>
    </row>
    <row r="21" spans="1:41" ht="15.75" thickBot="1">
      <c r="A21" s="111"/>
      <c r="B21" s="111"/>
      <c r="C21" s="111"/>
      <c r="D21" s="111"/>
      <c r="E21" s="111"/>
      <c r="F21" s="111"/>
      <c r="G21" s="112"/>
      <c r="H21" s="111"/>
      <c r="I21" s="113"/>
      <c r="J21" s="113"/>
      <c r="K21" s="111"/>
      <c r="L21" s="111"/>
      <c r="M21" s="111"/>
      <c r="N21" s="111"/>
      <c r="O21" s="111"/>
      <c r="P21" s="111"/>
      <c r="Q21" s="114">
        <f t="shared" ref="Q21" si="5">P21-O21</f>
        <v>0</v>
      </c>
      <c r="R21" s="111"/>
      <c r="S21" s="125"/>
      <c r="T21" s="125"/>
      <c r="U21" s="109"/>
      <c r="V21" s="109"/>
      <c r="W21" s="126"/>
      <c r="X21" s="109"/>
      <c r="Y21" s="120"/>
      <c r="Z21" s="115"/>
      <c r="AA21" s="124"/>
      <c r="AB21" s="115"/>
      <c r="AC21" s="115"/>
      <c r="AD21" s="115"/>
      <c r="AE21" s="115"/>
      <c r="AF21" s="115"/>
      <c r="AG21" s="115"/>
      <c r="AH21" s="115"/>
      <c r="AI21" s="115"/>
      <c r="AJ21" s="115"/>
      <c r="AK21" s="111"/>
      <c r="AL21" s="116"/>
      <c r="AM21" s="111"/>
      <c r="AN21" s="111"/>
      <c r="AO21" s="116"/>
    </row>
    <row r="22" spans="1:41" s="187" customFormat="1" ht="15.75" thickBot="1">
      <c r="A22" s="177"/>
      <c r="B22" s="177"/>
      <c r="C22" s="177"/>
      <c r="D22" s="177"/>
      <c r="E22" s="177"/>
      <c r="F22" s="177"/>
      <c r="G22" s="178"/>
      <c r="H22" s="177"/>
      <c r="I22" s="179"/>
      <c r="J22" s="179"/>
      <c r="K22" s="177"/>
      <c r="L22" s="177"/>
      <c r="M22" s="177"/>
      <c r="N22" s="177"/>
      <c r="O22" s="180"/>
      <c r="P22" s="180"/>
      <c r="Q22" s="181"/>
      <c r="R22" s="177"/>
      <c r="S22" s="243" t="s">
        <v>602</v>
      </c>
      <c r="T22" s="244"/>
      <c r="U22" s="182">
        <f>SUM(U10:U21)</f>
        <v>0</v>
      </c>
      <c r="V22" s="182">
        <f>SUM(V10:V21)</f>
        <v>0</v>
      </c>
      <c r="W22" s="183" t="e">
        <f>V22/U22*100</f>
        <v>#DIV/0!</v>
      </c>
      <c r="X22" s="184" t="s">
        <v>601</v>
      </c>
      <c r="Y22" s="185">
        <f>Y10/X10*100</f>
        <v>95.98</v>
      </c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77"/>
      <c r="AL22" s="186"/>
      <c r="AM22" s="177"/>
      <c r="AN22" s="177"/>
      <c r="AO22" s="186"/>
    </row>
    <row r="23" spans="1:41" s="187" customFormat="1">
      <c r="A23" s="188"/>
      <c r="B23" s="188"/>
      <c r="C23" s="188"/>
      <c r="D23" s="188"/>
      <c r="E23" s="188"/>
      <c r="F23" s="188"/>
      <c r="G23" s="189"/>
      <c r="H23" s="188"/>
      <c r="I23" s="190"/>
      <c r="J23" s="190"/>
      <c r="K23" s="188"/>
      <c r="L23" s="188"/>
      <c r="M23" s="188"/>
      <c r="N23" s="188"/>
      <c r="O23" s="191"/>
      <c r="P23" s="191"/>
      <c r="Q23" s="192"/>
      <c r="R23" s="188"/>
      <c r="S23" s="193"/>
      <c r="T23" s="193"/>
      <c r="U23" s="192"/>
      <c r="V23" s="192"/>
      <c r="W23" s="190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88"/>
      <c r="AL23" s="194"/>
      <c r="AM23" s="188"/>
      <c r="AN23" s="188"/>
      <c r="AO23" s="194"/>
    </row>
    <row r="24" spans="1:41" s="187" customFormat="1">
      <c r="A24" s="188"/>
      <c r="B24" s="188"/>
      <c r="C24" s="188"/>
      <c r="D24" s="188"/>
      <c r="E24" s="188"/>
      <c r="F24" s="188"/>
      <c r="G24" s="189"/>
      <c r="H24" s="188"/>
      <c r="I24" s="190"/>
      <c r="J24" s="190"/>
      <c r="K24" s="188"/>
      <c r="L24" s="188"/>
      <c r="M24" s="188"/>
      <c r="N24" s="188"/>
      <c r="O24" s="191"/>
      <c r="P24" s="191"/>
      <c r="Q24" s="192"/>
      <c r="R24" s="188"/>
      <c r="S24" s="193"/>
      <c r="T24" s="193"/>
      <c r="U24" s="192"/>
      <c r="V24" s="192"/>
      <c r="W24" s="190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88"/>
      <c r="AL24" s="194"/>
      <c r="AM24" s="188"/>
      <c r="AN24" s="188"/>
      <c r="AO24" s="194"/>
    </row>
    <row r="25" spans="1:41" s="187" customFormat="1">
      <c r="A25" s="188"/>
      <c r="B25" s="188"/>
      <c r="C25" s="188"/>
      <c r="D25" s="188"/>
      <c r="E25" s="188"/>
      <c r="F25" s="188"/>
      <c r="G25" s="189"/>
      <c r="H25" s="188"/>
      <c r="I25" s="190"/>
      <c r="J25" s="190"/>
      <c r="K25" s="188"/>
      <c r="L25" s="188"/>
      <c r="M25" s="188"/>
      <c r="N25" s="188"/>
      <c r="O25" s="191"/>
      <c r="P25" s="191"/>
      <c r="Q25" s="192"/>
      <c r="R25" s="188"/>
      <c r="S25" s="193"/>
      <c r="T25" s="193"/>
      <c r="U25" s="192"/>
      <c r="V25" s="192"/>
      <c r="W25" s="190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88"/>
      <c r="AL25" s="194"/>
      <c r="AM25" s="188"/>
      <c r="AN25" s="188"/>
      <c r="AO25" s="194"/>
    </row>
    <row r="26" spans="1:41" s="187" customFormat="1">
      <c r="A26" s="188"/>
      <c r="B26" s="188"/>
      <c r="C26" s="188"/>
      <c r="D26" s="188"/>
      <c r="E26" s="188"/>
      <c r="F26" s="188"/>
      <c r="G26" s="189"/>
      <c r="H26" s="188"/>
      <c r="I26" s="190"/>
      <c r="J26" s="190"/>
      <c r="K26" s="188"/>
      <c r="L26" s="188"/>
      <c r="M26" s="188"/>
      <c r="N26" s="188"/>
      <c r="O26" s="191"/>
      <c r="P26" s="191"/>
      <c r="Q26" s="192"/>
      <c r="R26" s="188"/>
      <c r="S26" s="193"/>
      <c r="T26" s="195"/>
      <c r="U26" s="192"/>
      <c r="V26" s="192"/>
      <c r="W26" s="190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88"/>
      <c r="AL26" s="194"/>
      <c r="AM26" s="188"/>
      <c r="AN26" s="188"/>
      <c r="AO26" s="194"/>
    </row>
    <row r="27" spans="1:41" s="187" customFormat="1">
      <c r="A27" s="188"/>
      <c r="B27" s="188"/>
      <c r="C27" s="188"/>
      <c r="D27" s="188"/>
      <c r="E27" s="188"/>
      <c r="F27" s="188"/>
      <c r="G27" s="189"/>
      <c r="H27" s="188"/>
      <c r="I27" s="190"/>
      <c r="J27" s="190"/>
      <c r="K27" s="188"/>
      <c r="L27" s="188"/>
      <c r="M27" s="188"/>
      <c r="N27" s="188"/>
      <c r="O27" s="191"/>
      <c r="P27" s="191"/>
      <c r="Q27" s="192"/>
      <c r="R27" s="188"/>
      <c r="S27" s="193"/>
      <c r="T27" s="193"/>
      <c r="U27" s="192"/>
      <c r="V27" s="192"/>
      <c r="W27" s="190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88"/>
      <c r="AL27" s="194"/>
      <c r="AM27" s="188"/>
      <c r="AN27" s="188"/>
      <c r="AO27" s="194"/>
    </row>
    <row r="28" spans="1:41" s="187" customFormat="1">
      <c r="A28" s="188"/>
      <c r="B28" s="188"/>
      <c r="C28" s="188"/>
      <c r="D28" s="188"/>
      <c r="E28" s="188"/>
      <c r="F28" s="188"/>
      <c r="G28" s="189"/>
      <c r="H28" s="188"/>
      <c r="I28" s="190"/>
      <c r="J28" s="190"/>
      <c r="K28" s="188"/>
      <c r="L28" s="188"/>
      <c r="M28" s="188"/>
      <c r="N28" s="188"/>
      <c r="O28" s="191"/>
      <c r="P28" s="191"/>
      <c r="Q28" s="192"/>
      <c r="R28" s="188"/>
      <c r="S28" s="193"/>
      <c r="T28" s="193"/>
      <c r="U28" s="192"/>
      <c r="V28" s="192"/>
      <c r="W28" s="190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88"/>
      <c r="AL28" s="194"/>
      <c r="AM28" s="188"/>
      <c r="AN28" s="188"/>
      <c r="AO28" s="194"/>
    </row>
    <row r="29" spans="1:41" s="187" customFormat="1">
      <c r="A29" s="188"/>
      <c r="B29" s="188"/>
      <c r="C29" s="188"/>
      <c r="D29" s="188"/>
      <c r="E29" s="188"/>
      <c r="F29" s="188"/>
      <c r="G29" s="189"/>
      <c r="H29" s="188"/>
      <c r="I29" s="190"/>
      <c r="J29" s="190"/>
      <c r="K29" s="188"/>
      <c r="L29" s="188"/>
      <c r="M29" s="188"/>
      <c r="N29" s="188"/>
      <c r="O29" s="191"/>
      <c r="P29" s="191"/>
      <c r="Q29" s="192"/>
      <c r="R29" s="188"/>
      <c r="S29" s="193"/>
      <c r="T29" s="193"/>
      <c r="U29" s="192"/>
      <c r="V29" s="192"/>
      <c r="W29" s="190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88"/>
      <c r="AL29" s="194"/>
      <c r="AM29" s="188"/>
      <c r="AN29" s="188"/>
      <c r="AO29" s="194"/>
    </row>
    <row r="30" spans="1:41" s="187" customFormat="1">
      <c r="A30" s="188"/>
      <c r="B30" s="188"/>
      <c r="C30" s="188"/>
      <c r="D30" s="188"/>
      <c r="E30" s="188"/>
      <c r="F30" s="188"/>
      <c r="G30" s="189"/>
      <c r="H30" s="188"/>
      <c r="I30" s="190"/>
      <c r="J30" s="190"/>
      <c r="K30" s="188"/>
      <c r="L30" s="188"/>
      <c r="M30" s="188"/>
      <c r="N30" s="188"/>
      <c r="O30" s="191"/>
      <c r="P30" s="191"/>
      <c r="Q30" s="192"/>
      <c r="R30" s="188"/>
      <c r="S30" s="193"/>
      <c r="T30" s="193"/>
      <c r="U30" s="192"/>
      <c r="V30" s="192"/>
      <c r="W30" s="190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88"/>
      <c r="AL30" s="194"/>
      <c r="AM30" s="188"/>
      <c r="AN30" s="188"/>
      <c r="AO30" s="194"/>
    </row>
    <row r="31" spans="1:41" s="187" customFormat="1">
      <c r="A31" s="188"/>
      <c r="B31" s="188"/>
      <c r="C31" s="188"/>
      <c r="D31" s="188"/>
      <c r="E31" s="188"/>
      <c r="F31" s="188"/>
      <c r="G31" s="189"/>
      <c r="H31" s="188"/>
      <c r="I31" s="190"/>
      <c r="J31" s="190"/>
      <c r="K31" s="188"/>
      <c r="L31" s="188"/>
      <c r="M31" s="188"/>
      <c r="N31" s="188"/>
      <c r="O31" s="191"/>
      <c r="P31" s="191"/>
      <c r="Q31" s="192"/>
      <c r="R31" s="188"/>
      <c r="S31" s="193"/>
      <c r="T31" s="193"/>
      <c r="U31" s="192"/>
      <c r="V31" s="192"/>
      <c r="W31" s="190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88"/>
      <c r="AL31" s="194"/>
      <c r="AM31" s="188"/>
      <c r="AN31" s="188"/>
      <c r="AO31" s="194"/>
    </row>
    <row r="32" spans="1:41" s="187" customFormat="1">
      <c r="A32" s="188"/>
      <c r="B32" s="188"/>
      <c r="C32" s="188"/>
      <c r="D32" s="188"/>
      <c r="E32" s="188"/>
      <c r="F32" s="188"/>
      <c r="G32" s="189"/>
      <c r="H32" s="188"/>
      <c r="I32" s="190"/>
      <c r="J32" s="190"/>
      <c r="K32" s="188"/>
      <c r="L32" s="188"/>
      <c r="M32" s="188"/>
      <c r="N32" s="188"/>
      <c r="O32" s="191"/>
      <c r="P32" s="191"/>
      <c r="Q32" s="192"/>
      <c r="R32" s="188"/>
      <c r="S32" s="193"/>
      <c r="T32" s="193"/>
      <c r="U32" s="192"/>
      <c r="V32" s="192"/>
      <c r="W32" s="190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88"/>
      <c r="AL32" s="194"/>
      <c r="AM32" s="188"/>
      <c r="AN32" s="188"/>
      <c r="AO32" s="194"/>
    </row>
    <row r="33" spans="1:41" s="187" customFormat="1">
      <c r="A33" s="188"/>
      <c r="B33" s="188"/>
      <c r="C33" s="188"/>
      <c r="D33" s="188"/>
      <c r="E33" s="188"/>
      <c r="F33" s="188"/>
      <c r="G33" s="189"/>
      <c r="H33" s="188"/>
      <c r="I33" s="190"/>
      <c r="J33" s="190"/>
      <c r="K33" s="188"/>
      <c r="L33" s="188"/>
      <c r="M33" s="188"/>
      <c r="N33" s="188"/>
      <c r="O33" s="191"/>
      <c r="P33" s="191"/>
      <c r="Q33" s="192"/>
      <c r="R33" s="188"/>
      <c r="S33" s="193"/>
      <c r="T33" s="193"/>
      <c r="U33" s="192"/>
      <c r="V33" s="192"/>
      <c r="W33" s="190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88"/>
      <c r="AL33" s="194"/>
      <c r="AM33" s="188"/>
      <c r="AN33" s="188"/>
      <c r="AO33" s="194"/>
    </row>
    <row r="34" spans="1:41" s="187" customFormat="1">
      <c r="A34" s="188"/>
      <c r="B34" s="188"/>
      <c r="C34" s="188"/>
      <c r="D34" s="188"/>
      <c r="E34" s="188"/>
      <c r="F34" s="188"/>
      <c r="G34" s="189"/>
      <c r="H34" s="188"/>
      <c r="I34" s="190"/>
      <c r="J34" s="190"/>
      <c r="K34" s="188"/>
      <c r="L34" s="188"/>
      <c r="M34" s="188"/>
      <c r="N34" s="188"/>
      <c r="O34" s="191"/>
      <c r="P34" s="191"/>
      <c r="Q34" s="192"/>
      <c r="R34" s="188"/>
      <c r="S34" s="193"/>
      <c r="T34" s="193"/>
      <c r="U34" s="192"/>
      <c r="V34" s="192"/>
      <c r="W34" s="190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88"/>
      <c r="AL34" s="194"/>
      <c r="AM34" s="188"/>
      <c r="AN34" s="188"/>
      <c r="AO34" s="194"/>
    </row>
    <row r="35" spans="1:41" s="187" customFormat="1">
      <c r="A35" s="188"/>
      <c r="B35" s="188"/>
      <c r="C35" s="188"/>
      <c r="D35" s="188"/>
      <c r="E35" s="188"/>
      <c r="F35" s="188"/>
      <c r="G35" s="189"/>
      <c r="H35" s="188"/>
      <c r="I35" s="190"/>
      <c r="J35" s="190"/>
      <c r="K35" s="188"/>
      <c r="L35" s="188"/>
      <c r="M35" s="188"/>
      <c r="N35" s="188"/>
      <c r="O35" s="191"/>
      <c r="P35" s="191"/>
      <c r="Q35" s="192"/>
      <c r="R35" s="188"/>
      <c r="S35" s="193"/>
      <c r="T35" s="193"/>
      <c r="U35" s="192"/>
      <c r="V35" s="192"/>
      <c r="W35" s="190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88"/>
      <c r="AL35" s="194"/>
      <c r="AM35" s="188"/>
      <c r="AN35" s="188"/>
      <c r="AO35" s="194"/>
    </row>
    <row r="36" spans="1:41" s="187" customFormat="1">
      <c r="A36" s="188"/>
      <c r="B36" s="188"/>
      <c r="C36" s="188"/>
      <c r="D36" s="188"/>
      <c r="E36" s="188"/>
      <c r="F36" s="188"/>
      <c r="G36" s="189"/>
      <c r="H36" s="188"/>
      <c r="I36" s="190"/>
      <c r="J36" s="190"/>
      <c r="K36" s="188"/>
      <c r="L36" s="188"/>
      <c r="M36" s="188"/>
      <c r="N36" s="188"/>
      <c r="O36" s="191"/>
      <c r="P36" s="191"/>
      <c r="Q36" s="192"/>
      <c r="R36" s="188"/>
      <c r="S36" s="193"/>
      <c r="T36" s="193"/>
      <c r="U36" s="192"/>
      <c r="V36" s="192"/>
      <c r="W36" s="190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88"/>
      <c r="AL36" s="194"/>
      <c r="AM36" s="188"/>
      <c r="AN36" s="188"/>
      <c r="AO36" s="194"/>
    </row>
    <row r="37" spans="1:41" s="187" customFormat="1">
      <c r="A37" s="188"/>
      <c r="B37" s="188"/>
      <c r="C37" s="188"/>
      <c r="D37" s="188"/>
      <c r="E37" s="188"/>
      <c r="F37" s="188"/>
      <c r="G37" s="189"/>
      <c r="H37" s="188"/>
      <c r="I37" s="190"/>
      <c r="J37" s="190"/>
      <c r="K37" s="188"/>
      <c r="L37" s="188"/>
      <c r="M37" s="188"/>
      <c r="N37" s="188"/>
      <c r="O37" s="191"/>
      <c r="P37" s="191"/>
      <c r="Q37" s="192"/>
      <c r="R37" s="188"/>
      <c r="S37" s="193"/>
      <c r="T37" s="193"/>
      <c r="U37" s="192"/>
      <c r="V37" s="192"/>
      <c r="W37" s="190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88"/>
      <c r="AL37" s="194"/>
      <c r="AM37" s="188"/>
      <c r="AN37" s="188"/>
      <c r="AO37" s="194"/>
    </row>
    <row r="38" spans="1:41" s="187" customFormat="1">
      <c r="A38" s="188"/>
      <c r="B38" s="188"/>
      <c r="C38" s="188"/>
      <c r="D38" s="188"/>
      <c r="E38" s="188"/>
      <c r="F38" s="188"/>
      <c r="G38" s="189"/>
      <c r="H38" s="188"/>
      <c r="I38" s="190"/>
      <c r="J38" s="190"/>
      <c r="K38" s="188"/>
      <c r="L38" s="188"/>
      <c r="M38" s="188"/>
      <c r="N38" s="188"/>
      <c r="O38" s="191"/>
      <c r="P38" s="191"/>
      <c r="Q38" s="192"/>
      <c r="R38" s="188"/>
      <c r="S38" s="193"/>
      <c r="T38" s="193"/>
      <c r="U38" s="192"/>
      <c r="V38" s="192"/>
      <c r="W38" s="190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88"/>
      <c r="AL38" s="194"/>
      <c r="AM38" s="188"/>
      <c r="AN38" s="188"/>
      <c r="AO38" s="194"/>
    </row>
    <row r="39" spans="1:41" s="187" customFormat="1">
      <c r="A39" s="188"/>
      <c r="B39" s="188"/>
      <c r="C39" s="188"/>
      <c r="D39" s="188"/>
      <c r="E39" s="188"/>
      <c r="F39" s="188"/>
      <c r="G39" s="189"/>
      <c r="H39" s="188"/>
      <c r="I39" s="190"/>
      <c r="J39" s="190"/>
      <c r="K39" s="188"/>
      <c r="L39" s="188"/>
      <c r="M39" s="188"/>
      <c r="N39" s="188"/>
      <c r="O39" s="191"/>
      <c r="P39" s="191"/>
      <c r="Q39" s="192"/>
      <c r="R39" s="188"/>
      <c r="S39" s="193"/>
      <c r="T39" s="193"/>
      <c r="U39" s="192"/>
      <c r="V39" s="192"/>
      <c r="W39" s="190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88"/>
      <c r="AL39" s="194"/>
      <c r="AM39" s="188"/>
      <c r="AN39" s="188"/>
      <c r="AO39" s="194"/>
    </row>
    <row r="40" spans="1:41" s="187" customFormat="1">
      <c r="A40" s="188"/>
      <c r="B40" s="188"/>
      <c r="C40" s="188"/>
      <c r="D40" s="188"/>
      <c r="E40" s="188"/>
      <c r="F40" s="188"/>
      <c r="G40" s="189"/>
      <c r="H40" s="188"/>
      <c r="I40" s="190"/>
      <c r="J40" s="190"/>
      <c r="K40" s="188"/>
      <c r="L40" s="188"/>
      <c r="M40" s="188"/>
      <c r="N40" s="188"/>
      <c r="O40" s="191"/>
      <c r="P40" s="191"/>
      <c r="Q40" s="192"/>
      <c r="R40" s="188"/>
      <c r="S40" s="193"/>
      <c r="T40" s="193"/>
      <c r="U40" s="192"/>
      <c r="V40" s="192"/>
      <c r="W40" s="190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88"/>
      <c r="AL40" s="194"/>
      <c r="AM40" s="188"/>
      <c r="AN40" s="188"/>
      <c r="AO40" s="194"/>
    </row>
    <row r="41" spans="1:41" s="187" customFormat="1">
      <c r="A41" s="188"/>
      <c r="B41" s="188"/>
      <c r="C41" s="188"/>
      <c r="D41" s="188"/>
      <c r="E41" s="188"/>
      <c r="F41" s="188"/>
      <c r="G41" s="189"/>
      <c r="H41" s="188"/>
      <c r="I41" s="190"/>
      <c r="J41" s="190"/>
      <c r="K41" s="188"/>
      <c r="L41" s="188"/>
      <c r="M41" s="188"/>
      <c r="N41" s="188"/>
      <c r="O41" s="191"/>
      <c r="P41" s="191"/>
      <c r="Q41" s="192"/>
      <c r="R41" s="188"/>
      <c r="S41" s="193"/>
      <c r="T41" s="193"/>
      <c r="U41" s="192"/>
      <c r="V41" s="192"/>
      <c r="W41" s="190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88"/>
      <c r="AL41" s="194"/>
      <c r="AM41" s="188"/>
      <c r="AN41" s="188"/>
      <c r="AO41" s="194"/>
    </row>
    <row r="42" spans="1:41" s="187" customFormat="1">
      <c r="A42" s="188"/>
      <c r="B42" s="188"/>
      <c r="C42" s="188"/>
      <c r="D42" s="188"/>
      <c r="E42" s="188"/>
      <c r="F42" s="188"/>
      <c r="G42" s="189"/>
      <c r="H42" s="188"/>
      <c r="I42" s="190"/>
      <c r="J42" s="190"/>
      <c r="K42" s="188"/>
      <c r="L42" s="188"/>
      <c r="M42" s="188"/>
      <c r="N42" s="188"/>
      <c r="O42" s="191"/>
      <c r="P42" s="191"/>
      <c r="Q42" s="192"/>
      <c r="R42" s="188"/>
      <c r="S42" s="193"/>
      <c r="T42" s="193"/>
      <c r="U42" s="192"/>
      <c r="V42" s="192"/>
      <c r="W42" s="190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88"/>
      <c r="AL42" s="194"/>
      <c r="AM42" s="188"/>
      <c r="AN42" s="188"/>
      <c r="AO42" s="194"/>
    </row>
    <row r="43" spans="1:41" s="187" customFormat="1">
      <c r="A43" s="188"/>
      <c r="B43" s="188"/>
      <c r="C43" s="188"/>
      <c r="D43" s="188"/>
      <c r="E43" s="188"/>
      <c r="F43" s="188"/>
      <c r="G43" s="189"/>
      <c r="H43" s="188"/>
      <c r="I43" s="190"/>
      <c r="J43" s="190"/>
      <c r="K43" s="188"/>
      <c r="L43" s="188"/>
      <c r="M43" s="188"/>
      <c r="N43" s="188"/>
      <c r="O43" s="196"/>
      <c r="P43" s="196"/>
      <c r="Q43" s="196"/>
      <c r="R43" s="196"/>
      <c r="S43" s="193"/>
      <c r="T43" s="193"/>
      <c r="U43" s="192"/>
      <c r="V43" s="192"/>
      <c r="W43" s="190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88"/>
      <c r="AL43" s="194"/>
      <c r="AM43" s="188"/>
      <c r="AN43" s="188"/>
      <c r="AO43" s="194"/>
    </row>
    <row r="44" spans="1:41" s="187" customFormat="1">
      <c r="A44" s="188"/>
      <c r="B44" s="188"/>
      <c r="C44" s="188"/>
      <c r="D44" s="188"/>
      <c r="E44" s="188"/>
      <c r="F44" s="188"/>
      <c r="G44" s="189"/>
      <c r="H44" s="188"/>
      <c r="I44" s="190"/>
      <c r="J44" s="190"/>
      <c r="K44" s="188"/>
      <c r="L44" s="188"/>
      <c r="M44" s="188"/>
      <c r="N44" s="188"/>
      <c r="S44" s="193"/>
      <c r="T44" s="193"/>
      <c r="U44" s="192"/>
      <c r="V44" s="192"/>
      <c r="W44" s="190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  <c r="AJ44" s="192"/>
      <c r="AK44" s="188"/>
      <c r="AL44" s="194"/>
      <c r="AM44" s="188"/>
      <c r="AN44" s="188"/>
      <c r="AO44" s="194"/>
    </row>
    <row r="45" spans="1:41" s="187" customFormat="1">
      <c r="A45" s="188"/>
      <c r="B45" s="188"/>
      <c r="C45" s="188"/>
      <c r="D45" s="188"/>
      <c r="E45" s="188"/>
      <c r="F45" s="188"/>
      <c r="G45" s="189"/>
      <c r="H45" s="188"/>
      <c r="I45" s="190"/>
      <c r="J45" s="190"/>
      <c r="K45" s="188"/>
      <c r="L45" s="188"/>
      <c r="M45" s="188"/>
      <c r="N45" s="188"/>
      <c r="S45" s="193"/>
      <c r="T45" s="193"/>
      <c r="U45" s="192"/>
      <c r="V45" s="192"/>
      <c r="W45" s="190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88"/>
      <c r="AL45" s="194"/>
      <c r="AM45" s="188"/>
      <c r="AN45" s="188"/>
      <c r="AO45" s="194"/>
    </row>
    <row r="46" spans="1:41" s="187" customFormat="1">
      <c r="A46" s="188"/>
      <c r="B46" s="188"/>
      <c r="C46" s="188"/>
      <c r="D46" s="188"/>
      <c r="E46" s="188"/>
      <c r="F46" s="188"/>
      <c r="G46" s="189"/>
      <c r="H46" s="188"/>
      <c r="I46" s="190"/>
      <c r="J46" s="190"/>
      <c r="K46" s="188"/>
      <c r="L46" s="188"/>
      <c r="M46" s="188"/>
      <c r="N46" s="188"/>
      <c r="S46" s="193"/>
      <c r="T46" s="193"/>
      <c r="U46" s="192"/>
      <c r="V46" s="192"/>
      <c r="W46" s="190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88"/>
      <c r="AL46" s="194"/>
      <c r="AM46" s="188"/>
      <c r="AN46" s="188"/>
      <c r="AO46" s="194"/>
    </row>
    <row r="47" spans="1:41" s="187" customFormat="1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S47" s="193"/>
      <c r="T47" s="193"/>
      <c r="U47" s="192"/>
      <c r="V47" s="192"/>
      <c r="W47" s="190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88"/>
      <c r="AL47" s="194"/>
      <c r="AM47" s="188"/>
      <c r="AN47" s="188"/>
      <c r="AO47" s="194"/>
    </row>
    <row r="48" spans="1:41" s="187" customFormat="1">
      <c r="S48" s="193"/>
      <c r="T48" s="193"/>
      <c r="U48" s="192"/>
      <c r="V48" s="192"/>
      <c r="W48" s="190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0"/>
      <c r="AK48" s="188"/>
      <c r="AL48" s="194"/>
      <c r="AM48" s="188"/>
      <c r="AN48" s="188"/>
      <c r="AO48" s="194"/>
    </row>
    <row r="49" spans="19:41" s="187" customFormat="1">
      <c r="S49" s="193"/>
      <c r="T49" s="193"/>
      <c r="U49" s="192"/>
      <c r="V49" s="192"/>
      <c r="W49" s="190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88"/>
      <c r="AL49" s="194"/>
      <c r="AM49" s="188"/>
      <c r="AN49" s="188"/>
      <c r="AO49" s="194"/>
    </row>
    <row r="50" spans="19:41" s="187" customFormat="1">
      <c r="S50" s="193"/>
      <c r="T50" s="193"/>
      <c r="U50" s="192"/>
      <c r="V50" s="192"/>
      <c r="W50" s="190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88"/>
      <c r="AL50" s="194"/>
      <c r="AM50" s="188"/>
      <c r="AN50" s="188"/>
      <c r="AO50" s="194"/>
    </row>
    <row r="51" spans="19:41" s="187" customFormat="1">
      <c r="S51" s="193"/>
      <c r="T51" s="193"/>
      <c r="U51" s="192"/>
      <c r="V51" s="192"/>
      <c r="W51" s="190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88"/>
      <c r="AL51" s="194"/>
      <c r="AM51" s="188"/>
      <c r="AN51" s="188"/>
      <c r="AO51" s="194"/>
    </row>
    <row r="52" spans="19:41" s="187" customFormat="1">
      <c r="S52" s="193"/>
      <c r="T52" s="193"/>
      <c r="U52" s="192"/>
      <c r="V52" s="192"/>
      <c r="W52" s="190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88"/>
      <c r="AL52" s="194"/>
      <c r="AM52" s="188"/>
      <c r="AN52" s="188"/>
      <c r="AO52" s="194"/>
    </row>
    <row r="53" spans="19:41" s="187" customFormat="1">
      <c r="S53" s="193"/>
      <c r="T53" s="193"/>
      <c r="U53" s="192"/>
      <c r="V53" s="192"/>
      <c r="W53" s="190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88"/>
      <c r="AL53" s="194"/>
      <c r="AM53" s="188"/>
      <c r="AN53" s="188"/>
      <c r="AO53" s="194"/>
    </row>
    <row r="54" spans="19:41" s="187" customFormat="1">
      <c r="S54" s="193"/>
      <c r="T54" s="193"/>
      <c r="U54" s="192"/>
      <c r="V54" s="192"/>
      <c r="W54" s="190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  <c r="AK54" s="188"/>
      <c r="AL54" s="194"/>
      <c r="AM54" s="188"/>
      <c r="AN54" s="188"/>
      <c r="AO54" s="194"/>
    </row>
    <row r="55" spans="19:41" s="187" customFormat="1">
      <c r="S55" s="193"/>
      <c r="T55" s="193"/>
      <c r="U55" s="192"/>
      <c r="V55" s="192"/>
      <c r="W55" s="190"/>
      <c r="X55" s="192"/>
      <c r="Y55" s="192"/>
      <c r="Z55" s="196"/>
      <c r="AA55" s="196"/>
      <c r="AB55" s="196"/>
      <c r="AC55" s="196"/>
      <c r="AD55" s="196"/>
      <c r="AE55" s="196"/>
      <c r="AF55" s="196"/>
      <c r="AG55" s="196"/>
      <c r="AH55" s="196"/>
      <c r="AI55" s="196"/>
      <c r="AJ55" s="196"/>
      <c r="AK55" s="196"/>
      <c r="AL55" s="196"/>
      <c r="AM55" s="196"/>
      <c r="AN55" s="196"/>
      <c r="AO55" s="196"/>
    </row>
    <row r="56" spans="19:41" s="187" customFormat="1">
      <c r="S56" s="193"/>
      <c r="T56" s="193"/>
      <c r="U56" s="192"/>
      <c r="V56" s="192"/>
      <c r="W56" s="190"/>
      <c r="X56" s="192"/>
      <c r="Y56" s="192"/>
    </row>
    <row r="57" spans="19:41" s="187" customFormat="1">
      <c r="S57" s="193"/>
      <c r="T57" s="193"/>
      <c r="U57" s="192"/>
      <c r="V57" s="192"/>
      <c r="W57" s="190"/>
      <c r="X57" s="192"/>
      <c r="Y57" s="192"/>
    </row>
    <row r="58" spans="19:41" s="187" customFormat="1">
      <c r="S58" s="193"/>
      <c r="T58" s="193"/>
      <c r="U58" s="192"/>
      <c r="V58" s="192"/>
      <c r="W58" s="190"/>
      <c r="X58" s="192"/>
      <c r="Y58" s="192"/>
    </row>
    <row r="59" spans="19:41" s="187" customFormat="1">
      <c r="S59" s="193"/>
      <c r="T59" s="193"/>
      <c r="U59" s="192"/>
      <c r="V59" s="192"/>
      <c r="W59" s="190"/>
      <c r="X59" s="192"/>
      <c r="Y59" s="192"/>
    </row>
    <row r="60" spans="19:41" s="187" customFormat="1">
      <c r="S60" s="193"/>
      <c r="T60" s="193"/>
      <c r="U60" s="192"/>
      <c r="V60" s="192"/>
      <c r="W60" s="190"/>
      <c r="X60" s="192"/>
      <c r="Y60" s="192"/>
    </row>
    <row r="61" spans="19:41" s="187" customFormat="1">
      <c r="S61" s="193"/>
      <c r="T61" s="193"/>
      <c r="U61" s="192"/>
      <c r="V61" s="192"/>
      <c r="W61" s="190"/>
      <c r="X61" s="192"/>
      <c r="Y61" s="192"/>
    </row>
    <row r="62" spans="19:41" s="187" customFormat="1">
      <c r="S62" s="193"/>
      <c r="T62" s="193"/>
      <c r="U62" s="192"/>
      <c r="V62" s="192"/>
      <c r="W62" s="190"/>
      <c r="X62" s="192"/>
      <c r="Y62" s="192"/>
    </row>
    <row r="63" spans="19:41" s="187" customFormat="1">
      <c r="S63" s="197"/>
      <c r="T63" s="197"/>
      <c r="U63" s="197"/>
      <c r="V63" s="196"/>
      <c r="W63" s="196"/>
      <c r="X63" s="198"/>
      <c r="Y63" s="199"/>
    </row>
    <row r="64" spans="19:41" s="187" customFormat="1">
      <c r="S64" s="195"/>
      <c r="T64" s="195"/>
      <c r="U64" s="195"/>
    </row>
    <row r="65" spans="19:21" s="187" customFormat="1">
      <c r="S65" s="195"/>
      <c r="T65" s="195"/>
      <c r="U65" s="195"/>
    </row>
    <row r="66" spans="19:21" s="187" customFormat="1">
      <c r="S66" s="195"/>
      <c r="T66" s="195"/>
      <c r="U66" s="195"/>
    </row>
    <row r="67" spans="19:21" s="187" customFormat="1">
      <c r="S67" s="195"/>
      <c r="T67" s="195"/>
      <c r="U67" s="195"/>
    </row>
    <row r="68" spans="19:21" s="187" customFormat="1">
      <c r="S68" s="195"/>
      <c r="T68" s="195"/>
      <c r="U68" s="195"/>
    </row>
    <row r="69" spans="19:21" s="187" customFormat="1">
      <c r="S69" s="195"/>
      <c r="T69" s="195"/>
      <c r="U69" s="195"/>
    </row>
    <row r="70" spans="19:21" s="187" customFormat="1">
      <c r="S70" s="195"/>
      <c r="T70" s="195"/>
      <c r="U70" s="195"/>
    </row>
    <row r="71" spans="19:21" s="187" customFormat="1">
      <c r="S71" s="195"/>
      <c r="T71" s="195"/>
      <c r="U71" s="195"/>
    </row>
    <row r="72" spans="19:21" s="187" customFormat="1">
      <c r="S72" s="195"/>
      <c r="T72" s="195"/>
      <c r="U72" s="195"/>
    </row>
    <row r="73" spans="19:21" s="187" customFormat="1">
      <c r="S73" s="195"/>
      <c r="T73" s="195"/>
      <c r="U73" s="195"/>
    </row>
    <row r="74" spans="19:21" s="187" customFormat="1">
      <c r="S74" s="195"/>
      <c r="T74" s="195"/>
      <c r="U74" s="195"/>
    </row>
    <row r="75" spans="19:21" s="187" customFormat="1">
      <c r="S75" s="195"/>
      <c r="T75" s="195"/>
      <c r="U75" s="195"/>
    </row>
    <row r="76" spans="19:21" s="187" customFormat="1">
      <c r="S76" s="195"/>
      <c r="T76" s="195"/>
      <c r="U76" s="195"/>
    </row>
    <row r="77" spans="19:21" s="187" customFormat="1">
      <c r="S77" s="195"/>
      <c r="T77" s="195"/>
      <c r="U77" s="195"/>
    </row>
    <row r="78" spans="19:21" s="187" customFormat="1">
      <c r="S78" s="195"/>
      <c r="T78" s="195"/>
      <c r="U78" s="195"/>
    </row>
    <row r="79" spans="19:21" s="187" customFormat="1">
      <c r="S79" s="195"/>
      <c r="T79" s="195"/>
      <c r="U79" s="195"/>
    </row>
    <row r="80" spans="19:21" s="187" customFormat="1">
      <c r="S80" s="195"/>
      <c r="T80" s="195"/>
      <c r="U80" s="195"/>
    </row>
    <row r="81" spans="19:21" s="187" customFormat="1">
      <c r="S81" s="195"/>
      <c r="T81" s="195"/>
      <c r="U81" s="195"/>
    </row>
    <row r="82" spans="19:21" s="187" customFormat="1">
      <c r="S82" s="195"/>
      <c r="T82" s="195"/>
      <c r="U82" s="195"/>
    </row>
    <row r="83" spans="19:21" s="187" customFormat="1">
      <c r="S83" s="195"/>
      <c r="T83" s="195"/>
      <c r="U83" s="195"/>
    </row>
    <row r="84" spans="19:21" s="187" customFormat="1">
      <c r="S84" s="195"/>
      <c r="T84" s="195"/>
      <c r="U84" s="195"/>
    </row>
    <row r="85" spans="19:21" s="187" customFormat="1">
      <c r="S85" s="195"/>
      <c r="T85" s="195"/>
      <c r="U85" s="195"/>
    </row>
    <row r="86" spans="19:21" s="187" customFormat="1">
      <c r="S86" s="195"/>
      <c r="T86" s="195"/>
      <c r="U86" s="195"/>
    </row>
    <row r="87" spans="19:21" s="187" customFormat="1">
      <c r="S87" s="195"/>
      <c r="T87" s="195"/>
      <c r="U87" s="195"/>
    </row>
    <row r="88" spans="19:21" s="187" customFormat="1">
      <c r="S88" s="195"/>
      <c r="T88" s="195"/>
      <c r="U88" s="195"/>
    </row>
    <row r="89" spans="19:21" s="187" customFormat="1">
      <c r="S89" s="195"/>
      <c r="T89" s="195"/>
      <c r="U89" s="195"/>
    </row>
    <row r="90" spans="19:21" s="187" customFormat="1">
      <c r="S90" s="195"/>
      <c r="T90" s="195"/>
      <c r="U90" s="195"/>
    </row>
    <row r="91" spans="19:21" s="187" customFormat="1">
      <c r="S91" s="195"/>
      <c r="T91" s="195"/>
      <c r="U91" s="195"/>
    </row>
    <row r="92" spans="19:21" s="187" customFormat="1">
      <c r="S92" s="195"/>
      <c r="T92" s="195"/>
      <c r="U92" s="195"/>
    </row>
    <row r="93" spans="19:21" s="187" customFormat="1">
      <c r="S93" s="195"/>
      <c r="T93" s="195"/>
      <c r="U93" s="195"/>
    </row>
    <row r="94" spans="19:21" s="187" customFormat="1">
      <c r="S94" s="195"/>
      <c r="T94" s="195"/>
      <c r="U94" s="195"/>
    </row>
    <row r="95" spans="19:21" s="187" customFormat="1">
      <c r="S95" s="195"/>
      <c r="T95" s="195"/>
      <c r="U95" s="195"/>
    </row>
    <row r="96" spans="19:21" s="187" customFormat="1">
      <c r="S96" s="195"/>
      <c r="T96" s="195"/>
      <c r="U96" s="195"/>
    </row>
    <row r="97" spans="19:21" s="187" customFormat="1">
      <c r="S97" s="195"/>
      <c r="T97" s="195"/>
      <c r="U97" s="195"/>
    </row>
    <row r="98" spans="19:21" s="187" customFormat="1">
      <c r="S98" s="195"/>
      <c r="T98" s="195"/>
      <c r="U98" s="195"/>
    </row>
    <row r="99" spans="19:21" s="187" customFormat="1">
      <c r="S99" s="195"/>
      <c r="T99" s="195"/>
      <c r="U99" s="195"/>
    </row>
    <row r="100" spans="19:21" s="187" customFormat="1">
      <c r="S100" s="195"/>
      <c r="T100" s="195"/>
      <c r="U100" s="195"/>
    </row>
    <row r="101" spans="19:21" s="187" customFormat="1">
      <c r="S101" s="195"/>
      <c r="T101" s="195"/>
      <c r="U101" s="195"/>
    </row>
    <row r="102" spans="19:21" s="187" customFormat="1">
      <c r="S102" s="195"/>
      <c r="T102" s="195"/>
      <c r="U102" s="195"/>
    </row>
    <row r="103" spans="19:21" s="187" customFormat="1">
      <c r="S103" s="195"/>
      <c r="T103" s="195"/>
      <c r="U103" s="195"/>
    </row>
    <row r="104" spans="19:21" s="187" customFormat="1">
      <c r="S104" s="195"/>
      <c r="T104" s="195"/>
      <c r="U104" s="195"/>
    </row>
    <row r="105" spans="19:21" s="187" customFormat="1">
      <c r="S105" s="195"/>
      <c r="T105" s="195"/>
      <c r="U105" s="195"/>
    </row>
    <row r="106" spans="19:21" s="187" customFormat="1">
      <c r="S106" s="195"/>
      <c r="T106" s="195"/>
      <c r="U106" s="195"/>
    </row>
    <row r="107" spans="19:21" s="187" customFormat="1">
      <c r="S107" s="195"/>
      <c r="T107" s="195"/>
      <c r="U107" s="195"/>
    </row>
    <row r="108" spans="19:21" s="187" customFormat="1">
      <c r="S108" s="195"/>
      <c r="T108" s="195"/>
      <c r="U108" s="195"/>
    </row>
    <row r="109" spans="19:21" s="187" customFormat="1">
      <c r="S109" s="195"/>
      <c r="T109" s="195"/>
      <c r="U109" s="195"/>
    </row>
    <row r="110" spans="19:21" s="187" customFormat="1">
      <c r="S110" s="195"/>
      <c r="T110" s="195"/>
      <c r="U110" s="195"/>
    </row>
    <row r="111" spans="19:21" s="187" customFormat="1">
      <c r="S111" s="195"/>
      <c r="T111" s="195"/>
      <c r="U111" s="195"/>
    </row>
    <row r="112" spans="19:21" s="187" customFormat="1">
      <c r="S112" s="195"/>
      <c r="T112" s="195"/>
      <c r="U112" s="195"/>
    </row>
    <row r="113" spans="19:21" s="187" customFormat="1">
      <c r="S113" s="195"/>
      <c r="T113" s="195"/>
      <c r="U113" s="195"/>
    </row>
    <row r="114" spans="19:21" s="187" customFormat="1">
      <c r="S114" s="195"/>
      <c r="T114" s="195"/>
      <c r="U114" s="195"/>
    </row>
    <row r="115" spans="19:21" s="187" customFormat="1">
      <c r="S115" s="195"/>
      <c r="T115" s="195"/>
      <c r="U115" s="195"/>
    </row>
    <row r="116" spans="19:21" s="187" customFormat="1">
      <c r="S116" s="195"/>
      <c r="T116" s="195"/>
      <c r="U116" s="195"/>
    </row>
    <row r="117" spans="19:21" s="187" customFormat="1">
      <c r="S117" s="195"/>
      <c r="T117" s="195"/>
      <c r="U117" s="195"/>
    </row>
    <row r="118" spans="19:21" s="187" customFormat="1">
      <c r="S118" s="195"/>
      <c r="T118" s="195"/>
      <c r="U118" s="195"/>
    </row>
    <row r="119" spans="19:21" s="187" customFormat="1">
      <c r="S119" s="195"/>
      <c r="T119" s="195"/>
      <c r="U119" s="195"/>
    </row>
    <row r="120" spans="19:21" s="187" customFormat="1">
      <c r="S120" s="195"/>
      <c r="T120" s="195"/>
      <c r="U120" s="195"/>
    </row>
    <row r="121" spans="19:21" s="187" customFormat="1">
      <c r="S121" s="195"/>
      <c r="T121" s="195"/>
      <c r="U121" s="195"/>
    </row>
    <row r="122" spans="19:21" s="187" customFormat="1">
      <c r="S122" s="195"/>
      <c r="T122" s="195"/>
      <c r="U122" s="195"/>
    </row>
    <row r="123" spans="19:21" s="187" customFormat="1">
      <c r="S123" s="195"/>
      <c r="T123" s="195"/>
      <c r="U123" s="195"/>
    </row>
    <row r="124" spans="19:21" s="187" customFormat="1">
      <c r="S124" s="195"/>
      <c r="T124" s="195"/>
      <c r="U124" s="195"/>
    </row>
    <row r="125" spans="19:21" s="187" customFormat="1">
      <c r="S125" s="195"/>
      <c r="T125" s="195"/>
      <c r="U125" s="195"/>
    </row>
    <row r="126" spans="19:21" s="187" customFormat="1">
      <c r="S126" s="195"/>
      <c r="T126" s="195"/>
      <c r="U126" s="195"/>
    </row>
    <row r="127" spans="19:21" s="187" customFormat="1">
      <c r="S127" s="195"/>
      <c r="T127" s="195"/>
      <c r="U127" s="195"/>
    </row>
    <row r="128" spans="19:21" s="187" customFormat="1">
      <c r="S128" s="195"/>
      <c r="T128" s="195"/>
      <c r="U128" s="195"/>
    </row>
    <row r="129" spans="19:21" s="187" customFormat="1">
      <c r="S129" s="195"/>
      <c r="T129" s="195"/>
      <c r="U129" s="195"/>
    </row>
    <row r="130" spans="19:21" s="187" customFormat="1">
      <c r="S130" s="195"/>
      <c r="T130" s="195"/>
      <c r="U130" s="195"/>
    </row>
  </sheetData>
  <mergeCells count="38">
    <mergeCell ref="AO7:AO9"/>
    <mergeCell ref="V7:V9"/>
    <mergeCell ref="W7:W9"/>
    <mergeCell ref="X7:Y8"/>
    <mergeCell ref="Z7:AE7"/>
    <mergeCell ref="AN7:AN9"/>
    <mergeCell ref="AF7:AF9"/>
    <mergeCell ref="AG7:AI8"/>
    <mergeCell ref="AJ7:AJ9"/>
    <mergeCell ref="AK7:AK9"/>
    <mergeCell ref="AC8:AE8"/>
    <mergeCell ref="A2:AO2"/>
    <mergeCell ref="A3:AO3"/>
    <mergeCell ref="A7:A9"/>
    <mergeCell ref="B7:C7"/>
    <mergeCell ref="D7:E7"/>
    <mergeCell ref="I8:I9"/>
    <mergeCell ref="J8:J9"/>
    <mergeCell ref="L8:L9"/>
    <mergeCell ref="M8:M9"/>
    <mergeCell ref="O8:Q8"/>
    <mergeCell ref="R8:R9"/>
    <mergeCell ref="AL7:AL9"/>
    <mergeCell ref="AM7:AM9"/>
    <mergeCell ref="B8:B9"/>
    <mergeCell ref="C8:C9"/>
    <mergeCell ref="D8:D9"/>
    <mergeCell ref="S22:T22"/>
    <mergeCell ref="E8:E9"/>
    <mergeCell ref="G8:G9"/>
    <mergeCell ref="S8:U8"/>
    <mergeCell ref="Z8:AB8"/>
    <mergeCell ref="F7:F9"/>
    <mergeCell ref="G7:H7"/>
    <mergeCell ref="I7:K7"/>
    <mergeCell ref="L7:N7"/>
    <mergeCell ref="O7:U7"/>
    <mergeCell ref="H8:H9"/>
  </mergeCells>
  <conditionalFormatting sqref="O42">
    <cfRule type="expression" dxfId="74" priority="97">
      <formula>OR(AND(LEN($F46)&gt;0,SUM($G46)&lt;&gt;SUM($H45)),AND($F46&lt;&gt;"",$G46=""))</formula>
    </cfRule>
  </conditionalFormatting>
  <conditionalFormatting sqref="P36:P40 P42 O35:O42 O22:P34">
    <cfRule type="expression" dxfId="73" priority="96">
      <formula>OR(AND(LEN($G26)&gt;0,$G26&gt;=$H26),AND($H26&lt;&gt;"",($H26-$G26)&gt;1.5))</formula>
    </cfRule>
  </conditionalFormatting>
  <conditionalFormatting sqref="P41 P22:P35 O22:O41">
    <cfRule type="expression" dxfId="72" priority="95">
      <formula>AND(RIGHT($AL34,1)="w",$AL35="fr")</formula>
    </cfRule>
  </conditionalFormatting>
  <conditionalFormatting sqref="P41 P22:P35 O22:O41">
    <cfRule type="expression" dxfId="71" priority="94">
      <formula>AND($AL34="de",$AL35&lt;&gt;"de")</formula>
    </cfRule>
  </conditionalFormatting>
  <conditionalFormatting sqref="O10">
    <cfRule type="expression" dxfId="70" priority="93">
      <formula>OR(AND(LEN($F10)&gt;0,SUM($G10)&lt;&gt;SUM($H9)),AND($F10&lt;&gt;"",$G10=""))</formula>
    </cfRule>
  </conditionalFormatting>
  <conditionalFormatting sqref="O11:O20 P10:P20">
    <cfRule type="expression" dxfId="69" priority="92">
      <formula>OR(AND(LEN($G10)&gt;0,$G10&gt;=$H10),AND($H10&lt;&gt;"",($H10-$G10)&gt;1.5))</formula>
    </cfRule>
  </conditionalFormatting>
  <conditionalFormatting sqref="O10:P10">
    <cfRule type="expression" dxfId="68" priority="91">
      <formula>AND(RIGHT($AL10,1)="w",$AL11="fr")</formula>
    </cfRule>
  </conditionalFormatting>
  <conditionalFormatting sqref="O10:P10">
    <cfRule type="expression" dxfId="67" priority="90">
      <formula>AND($AL10="de",$AL11&lt;&gt;"de")</formula>
    </cfRule>
  </conditionalFormatting>
  <conditionalFormatting sqref="O26:P34 P35 O35:O42 O22:P22">
    <cfRule type="expression" dxfId="66" priority="89">
      <formula>AND(RIGHT($AL34,1)="w",#REF!="fr")</formula>
    </cfRule>
  </conditionalFormatting>
  <conditionalFormatting sqref="O26:P34 P35 O23:O25 O35:O42 O22:P22">
    <cfRule type="expression" dxfId="65" priority="88">
      <formula>AND($AL34="de",#REF!&lt;&gt;"de")</formula>
    </cfRule>
  </conditionalFormatting>
  <conditionalFormatting sqref="O23:P25">
    <cfRule type="expression" dxfId="64" priority="85">
      <formula>AND(RIGHT($AL35,1)="w",#REF!="fr")</formula>
    </cfRule>
  </conditionalFormatting>
  <conditionalFormatting sqref="O23:P25">
    <cfRule type="expression" dxfId="63" priority="84">
      <formula>AND($AL35="de",#REF!&lt;&gt;"de")</formula>
    </cfRule>
  </conditionalFormatting>
  <conditionalFormatting sqref="O39:P39 P22:P34">
    <cfRule type="expression" dxfId="62" priority="82">
      <formula>AND(RIGHT($AL34,1)="w",$AL37="fr")</formula>
    </cfRule>
  </conditionalFormatting>
  <conditionalFormatting sqref="O39:P39 P22:P34">
    <cfRule type="expression" dxfId="61" priority="80">
      <formula>AND($AL34="de",$AL37&lt;&gt;"de")</formula>
    </cfRule>
  </conditionalFormatting>
  <conditionalFormatting sqref="O37:P38">
    <cfRule type="expression" dxfId="60" priority="79">
      <formula>AND(RIGHT($AL49,1)="w",$AL53="fr")</formula>
    </cfRule>
  </conditionalFormatting>
  <conditionalFormatting sqref="O37:P38">
    <cfRule type="expression" dxfId="59" priority="78">
      <formula>AND($AL49="de",$AL53&lt;&gt;"de")</formula>
    </cfRule>
  </conditionalFormatting>
  <conditionalFormatting sqref="P35">
    <cfRule type="expression" dxfId="58" priority="77">
      <formula>AND(RIGHT($AL47,1)="w",#REF!="fr")</formula>
    </cfRule>
  </conditionalFormatting>
  <conditionalFormatting sqref="P35">
    <cfRule type="expression" dxfId="57" priority="76">
      <formula>AND($AL47="de",#REF!&lt;&gt;"de")</formula>
    </cfRule>
  </conditionalFormatting>
  <conditionalFormatting sqref="O36:P36">
    <cfRule type="expression" dxfId="56" priority="73">
      <formula>AND(RIGHT($AL48,1)="w",#REF!="fr")</formula>
    </cfRule>
  </conditionalFormatting>
  <conditionalFormatting sqref="O36:P36">
    <cfRule type="expression" dxfId="55" priority="72">
      <formula>AND($AL48="de",#REF!&lt;&gt;"de")</formula>
    </cfRule>
  </conditionalFormatting>
  <conditionalFormatting sqref="O34:P34">
    <cfRule type="expression" dxfId="54" priority="71">
      <formula>AND(RIGHT($AL46,1)="w",#REF!="fr")</formula>
    </cfRule>
  </conditionalFormatting>
  <conditionalFormatting sqref="O34:P34">
    <cfRule type="expression" dxfId="53" priority="70">
      <formula>AND($AL46="de",#REF!&lt;&gt;"de")</formula>
    </cfRule>
  </conditionalFormatting>
  <conditionalFormatting sqref="O40:P40">
    <cfRule type="expression" dxfId="52" priority="67">
      <formula>AND(RIGHT($AL52,1)="w",$AL54="fr")</formula>
    </cfRule>
  </conditionalFormatting>
  <conditionalFormatting sqref="O40:P40">
    <cfRule type="expression" dxfId="51" priority="66">
      <formula>AND($AL52="de",$AL54&lt;&gt;"de")</formula>
    </cfRule>
  </conditionalFormatting>
  <conditionalFormatting sqref="P41">
    <cfRule type="expression" dxfId="50" priority="63">
      <formula>OR(AND(LEN(#REF!)&gt;0,#REF!&gt;=$H45),AND($H45&lt;&gt;"",($H45-#REF!)&gt;1.5))</formula>
    </cfRule>
  </conditionalFormatting>
  <conditionalFormatting sqref="P35">
    <cfRule type="expression" dxfId="49" priority="62">
      <formula>OR(AND(LEN(#REF!)&gt;0,#REF!&gt;=$H39),AND($H39&lt;&gt;"",($H39-#REF!)&gt;1.5))</formula>
    </cfRule>
  </conditionalFormatting>
  <conditionalFormatting sqref="O36">
    <cfRule type="expression" dxfId="48" priority="61">
      <formula>OR(AND(LEN(#REF!)&gt;0,SUM($G40)&lt;&gt;SUM($H39)),AND(#REF!&lt;&gt;"",$G40=""))</formula>
    </cfRule>
  </conditionalFormatting>
  <conditionalFormatting sqref="O37:O40">
    <cfRule type="expression" dxfId="47" priority="60">
      <formula>OR(AND(LEN(#REF!)&gt;0,SUM($G41)&lt;&gt;SUM(#REF!)),AND(#REF!&lt;&gt;"",$G41=""))</formula>
    </cfRule>
  </conditionalFormatting>
  <conditionalFormatting sqref="O35">
    <cfRule type="expression" dxfId="46" priority="59">
      <formula>OR(AND(LEN($F41)&gt;0,SUM($G39)&lt;&gt;SUM(#REF!)),AND($F41&lt;&gt;"",$G39=""))</formula>
    </cfRule>
  </conditionalFormatting>
  <conditionalFormatting sqref="O35 O41:O42">
    <cfRule type="expression" dxfId="45" priority="58">
      <formula>AND(RIGHT(#REF!,1)="w",#REF!="fr")</formula>
    </cfRule>
  </conditionalFormatting>
  <conditionalFormatting sqref="O41:O42">
    <cfRule type="expression" dxfId="44" priority="57">
      <formula>AND(#REF!="de",#REF!&lt;&gt;"de")</formula>
    </cfRule>
  </conditionalFormatting>
  <conditionalFormatting sqref="O35">
    <cfRule type="expression" dxfId="43" priority="56">
      <formula>AND(#REF!="de",#REF!&lt;&gt;"de")</formula>
    </cfRule>
  </conditionalFormatting>
  <conditionalFormatting sqref="O42:P42">
    <cfRule type="expression" dxfId="42" priority="51">
      <formula>AND(RIGHT($AL54,1)="w",#REF!="fr")</formula>
    </cfRule>
  </conditionalFormatting>
  <conditionalFormatting sqref="O42:P42">
    <cfRule type="expression" dxfId="41" priority="50">
      <formula>AND($AL54="de",#REF!&lt;&gt;"de")</formula>
    </cfRule>
  </conditionalFormatting>
  <conditionalFormatting sqref="O41:O42">
    <cfRule type="expression" dxfId="40" priority="49">
      <formula>AND(RIGHT($AL53,1)="w",#REF!="fr")</formula>
    </cfRule>
  </conditionalFormatting>
  <conditionalFormatting sqref="O41:O42">
    <cfRule type="expression" dxfId="39" priority="48">
      <formula>AND($AL53="de",#REF!&lt;&gt;"de")</formula>
    </cfRule>
  </conditionalFormatting>
  <conditionalFormatting sqref="O41:O42">
    <cfRule type="expression" dxfId="38" priority="47">
      <formula>OR(AND(LEN(#REF!)&gt;0,SUM($G45)&lt;&gt;SUM(#REF!)),AND(#REF!&lt;&gt;"",$G45=""))</formula>
    </cfRule>
  </conditionalFormatting>
  <conditionalFormatting sqref="O20:P20">
    <cfRule type="expression" dxfId="37" priority="1404">
      <formula>AND(RIGHT(#REF!,1)="w",#REF!="fr")</formula>
    </cfRule>
  </conditionalFormatting>
  <conditionalFormatting sqref="O20:P20">
    <cfRule type="expression" dxfId="36" priority="1405">
      <formula>AND(#REF!="de",#REF!&lt;&gt;"de")</formula>
    </cfRule>
  </conditionalFormatting>
  <conditionalFormatting sqref="O12:P19">
    <cfRule type="expression" dxfId="35" priority="1407">
      <formula>AND(RIGHT(#REF!,1)="w",#REF!="fr")</formula>
    </cfRule>
  </conditionalFormatting>
  <conditionalFormatting sqref="O12:P19">
    <cfRule type="expression" dxfId="34" priority="1408">
      <formula>AND(#REF!="de",#REF!&lt;&gt;"de")</formula>
    </cfRule>
  </conditionalFormatting>
  <conditionalFormatting sqref="O11:P11">
    <cfRule type="expression" dxfId="33" priority="1409">
      <formula>AND(RIGHT($AL11,1)="w",#REF!="fr")</formula>
    </cfRule>
  </conditionalFormatting>
  <conditionalFormatting sqref="O11:P11">
    <cfRule type="expression" dxfId="32" priority="1410">
      <formula>AND($AL11="de",#REF!&lt;&gt;"de")</formula>
    </cfRule>
  </conditionalFormatting>
  <pageMargins left="0.7" right="0.7" top="0.75" bottom="0.75" header="0.3" footer="0.3"/>
  <pageSetup orientation="portrait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99"/>
  </sheetPr>
  <dimension ref="B2:S33"/>
  <sheetViews>
    <sheetView showGridLines="0" zoomScale="130" zoomScaleNormal="130" workbookViewId="0">
      <pane ySplit="3" topLeftCell="A4" activePane="bottomLeft" state="frozen"/>
      <selection pane="bottomLeft" activeCell="G17" sqref="G17"/>
    </sheetView>
  </sheetViews>
  <sheetFormatPr defaultRowHeight="12.95" customHeight="1"/>
  <cols>
    <col min="1" max="1" width="4.28515625" customWidth="1"/>
    <col min="2" max="2" width="4.140625" bestFit="1" customWidth="1"/>
    <col min="3" max="3" width="12" customWidth="1"/>
    <col min="4" max="4" width="12.28515625" customWidth="1"/>
    <col min="5" max="5" width="15.140625" customWidth="1"/>
    <col min="6" max="7" width="7.5703125" style="37" customWidth="1"/>
    <col min="8" max="8" width="7.5703125" customWidth="1"/>
    <col min="9" max="10" width="7.5703125" style="37" customWidth="1"/>
    <col min="11" max="11" width="7.5703125" customWidth="1"/>
    <col min="12" max="12" width="9.7109375" customWidth="1"/>
    <col min="13" max="13" width="7.42578125" customWidth="1"/>
    <col min="14" max="14" width="16.28515625" customWidth="1"/>
    <col min="17" max="17" width="9.140625" customWidth="1"/>
    <col min="18" max="18" width="4.85546875" style="36" bestFit="1" customWidth="1"/>
    <col min="19" max="19" width="18.28515625" style="36" customWidth="1"/>
  </cols>
  <sheetData>
    <row r="2" spans="2:19" ht="12.95" customHeight="1">
      <c r="B2" s="262" t="s">
        <v>528</v>
      </c>
      <c r="C2" s="262" t="s">
        <v>58</v>
      </c>
      <c r="D2" s="259" t="s">
        <v>529</v>
      </c>
      <c r="E2" s="262" t="s">
        <v>60</v>
      </c>
      <c r="F2" s="262" t="s">
        <v>59</v>
      </c>
      <c r="G2" s="262"/>
      <c r="H2" s="262"/>
      <c r="I2" s="263" t="s">
        <v>521</v>
      </c>
      <c r="J2" s="263"/>
      <c r="K2" s="263"/>
      <c r="L2" s="259" t="s">
        <v>520</v>
      </c>
      <c r="M2" s="262" t="s">
        <v>13</v>
      </c>
      <c r="N2" s="262" t="s">
        <v>522</v>
      </c>
      <c r="R2" s="261" t="s">
        <v>535</v>
      </c>
      <c r="S2" s="261"/>
    </row>
    <row r="3" spans="2:19" ht="12.95" customHeight="1">
      <c r="B3" s="262"/>
      <c r="C3" s="262"/>
      <c r="D3" s="260"/>
      <c r="E3" s="262"/>
      <c r="F3" s="43" t="s">
        <v>20</v>
      </c>
      <c r="G3" s="43" t="s">
        <v>21</v>
      </c>
      <c r="H3" s="43" t="s">
        <v>523</v>
      </c>
      <c r="I3" s="43" t="s">
        <v>20</v>
      </c>
      <c r="J3" s="43" t="s">
        <v>21</v>
      </c>
      <c r="K3" s="43" t="s">
        <v>523</v>
      </c>
      <c r="L3" s="260"/>
      <c r="M3" s="262"/>
      <c r="N3" s="262"/>
      <c r="R3" s="53" t="s">
        <v>530</v>
      </c>
      <c r="S3" s="53" t="s">
        <v>531</v>
      </c>
    </row>
    <row r="4" spans="2:19" s="22" customFormat="1" ht="12.95" customHeight="1">
      <c r="B4" s="130"/>
      <c r="C4" s="130"/>
      <c r="D4" s="130"/>
      <c r="E4" s="131"/>
      <c r="F4" s="132"/>
      <c r="G4" s="133"/>
      <c r="H4" s="130"/>
      <c r="I4" s="132"/>
      <c r="J4" s="134"/>
      <c r="K4" s="130"/>
      <c r="L4" s="135"/>
      <c r="M4" s="130"/>
      <c r="N4" s="135"/>
      <c r="R4" s="64" t="s">
        <v>215</v>
      </c>
      <c r="S4" s="64" t="s">
        <v>532</v>
      </c>
    </row>
    <row r="5" spans="2:19" s="22" customFormat="1" ht="12.95" customHeight="1">
      <c r="B5" s="138">
        <v>1</v>
      </c>
      <c r="C5" s="139" t="str">
        <f>Collar!A5</f>
        <v>DH11_01</v>
      </c>
      <c r="D5" s="138" t="s">
        <v>525</v>
      </c>
      <c r="E5" s="139">
        <f>BHC!AL12</f>
        <v>0</v>
      </c>
      <c r="F5" s="140">
        <f>BHC!Z12</f>
        <v>0</v>
      </c>
      <c r="G5" s="140">
        <f>BHC!AA12</f>
        <v>0</v>
      </c>
      <c r="H5" s="140">
        <f>G5-F5</f>
        <v>0</v>
      </c>
      <c r="I5" s="140">
        <f>BHC!AG12</f>
        <v>27.62</v>
      </c>
      <c r="J5" s="140">
        <f>BHC!AH12</f>
        <v>28.6</v>
      </c>
      <c r="K5" s="140">
        <f>J5-I5</f>
        <v>0.98000000000000043</v>
      </c>
      <c r="L5" s="138"/>
      <c r="M5" s="139">
        <v>0</v>
      </c>
      <c r="N5" s="142">
        <f>BHC!AO12</f>
        <v>0</v>
      </c>
      <c r="R5" s="64" t="s">
        <v>564</v>
      </c>
      <c r="S5" s="64" t="s">
        <v>524</v>
      </c>
    </row>
    <row r="6" spans="2:19" s="22" customFormat="1" ht="12.95" customHeight="1">
      <c r="B6" s="136"/>
      <c r="C6" s="136"/>
      <c r="D6" s="136"/>
      <c r="E6" s="137"/>
      <c r="F6" s="137"/>
      <c r="G6" s="137"/>
      <c r="H6" s="137"/>
      <c r="I6" s="137"/>
      <c r="J6" s="137"/>
      <c r="K6" s="137"/>
      <c r="L6" s="137"/>
      <c r="M6" s="137"/>
      <c r="N6" s="137"/>
      <c r="R6" s="64" t="s">
        <v>77</v>
      </c>
      <c r="S6" s="64" t="s">
        <v>525</v>
      </c>
    </row>
    <row r="7" spans="2:19" s="22" customFormat="1" ht="12.95" customHeight="1">
      <c r="B7" s="44"/>
      <c r="C7"/>
      <c r="D7" s="58"/>
      <c r="E7" s="57"/>
      <c r="F7" s="59"/>
      <c r="G7" s="59"/>
      <c r="H7" s="59"/>
      <c r="I7" s="60"/>
      <c r="J7" s="60"/>
      <c r="K7" s="61"/>
      <c r="L7" s="62"/>
      <c r="M7" s="58"/>
      <c r="N7" s="58"/>
      <c r="R7" s="64" t="s">
        <v>565</v>
      </c>
      <c r="S7" s="64" t="s">
        <v>533</v>
      </c>
    </row>
    <row r="8" spans="2:19" s="22" customFormat="1" ht="12.95" customHeight="1">
      <c r="B8" s="148" t="s">
        <v>609</v>
      </c>
      <c r="C8" s="148"/>
      <c r="D8" s="144"/>
      <c r="E8" s="148"/>
      <c r="F8" s="145"/>
      <c r="G8" s="145"/>
      <c r="H8" s="145"/>
      <c r="I8" s="146"/>
      <c r="J8" s="146"/>
      <c r="K8" s="148"/>
      <c r="L8" s="147"/>
      <c r="M8" s="144"/>
      <c r="N8" s="144"/>
      <c r="O8" s="149"/>
      <c r="P8" s="149"/>
      <c r="R8" s="64" t="s">
        <v>219</v>
      </c>
      <c r="S8" s="64" t="s">
        <v>527</v>
      </c>
    </row>
    <row r="9" spans="2:19" s="22" customFormat="1" ht="12.95" customHeight="1">
      <c r="B9" s="148"/>
      <c r="C9" s="148" t="s">
        <v>610</v>
      </c>
      <c r="D9" s="150"/>
      <c r="E9" s="148"/>
      <c r="F9" s="151"/>
      <c r="G9" s="151"/>
      <c r="H9" s="148"/>
      <c r="I9" s="152"/>
      <c r="J9" s="152"/>
      <c r="K9" s="148"/>
      <c r="L9" s="153"/>
      <c r="M9" s="150"/>
      <c r="N9" s="150"/>
      <c r="O9" s="149"/>
      <c r="P9" s="149"/>
      <c r="R9" s="64" t="s">
        <v>294</v>
      </c>
      <c r="S9" s="64" t="s">
        <v>526</v>
      </c>
    </row>
    <row r="10" spans="2:19" s="22" customFormat="1" ht="12.95" customHeight="1">
      <c r="B10" s="51"/>
      <c r="C10"/>
      <c r="D10" s="45"/>
      <c r="E10" s="51"/>
      <c r="F10" s="47"/>
      <c r="G10" s="47"/>
      <c r="H10" s="47"/>
      <c r="I10" s="48"/>
      <c r="J10" s="48"/>
      <c r="K10" s="49"/>
      <c r="L10" s="50"/>
      <c r="M10" s="45"/>
      <c r="N10" s="45"/>
      <c r="R10" s="64" t="s">
        <v>419</v>
      </c>
      <c r="S10" s="64" t="s">
        <v>534</v>
      </c>
    </row>
    <row r="11" spans="2:19" s="22" customFormat="1" ht="12.95" customHeight="1">
      <c r="B11" s="51"/>
      <c r="C11" s="45"/>
      <c r="D11" s="45"/>
      <c r="E11" s="46"/>
      <c r="F11" s="47"/>
      <c r="G11" s="47"/>
      <c r="H11" s="47"/>
      <c r="I11" s="48"/>
      <c r="J11" s="48"/>
      <c r="K11" s="49"/>
      <c r="L11" s="50"/>
      <c r="M11" s="45"/>
      <c r="N11" s="45"/>
    </row>
    <row r="12" spans="2:19" s="22" customFormat="1" ht="12.95" customHeight="1">
      <c r="B12" s="51"/>
      <c r="C12" s="51"/>
      <c r="D12" s="45"/>
      <c r="E12" s="46"/>
      <c r="F12" s="47"/>
      <c r="G12" s="47"/>
      <c r="H12" s="51"/>
      <c r="I12" s="48"/>
      <c r="J12" s="48"/>
      <c r="K12" s="49"/>
      <c r="L12" s="50"/>
      <c r="M12" s="45"/>
      <c r="N12" s="45"/>
    </row>
    <row r="13" spans="2:19" s="22" customFormat="1" ht="12.95" customHeight="1">
      <c r="B13" s="51"/>
      <c r="C13"/>
      <c r="D13" s="45"/>
      <c r="E13" s="51"/>
      <c r="F13" s="47"/>
      <c r="G13" s="47"/>
      <c r="H13" s="51"/>
      <c r="I13" s="48"/>
      <c r="J13" s="48"/>
      <c r="K13" s="49"/>
      <c r="L13" s="50"/>
      <c r="M13" s="45"/>
      <c r="N13" s="45"/>
    </row>
    <row r="14" spans="2:19" s="22" customFormat="1" ht="12.95" customHeight="1">
      <c r="B14" s="51"/>
      <c r="C14"/>
      <c r="D14" s="45"/>
      <c r="E14" s="51"/>
      <c r="F14" s="47"/>
      <c r="G14" s="47"/>
      <c r="H14" s="51"/>
      <c r="I14" s="48"/>
      <c r="J14" s="48"/>
      <c r="K14" s="49"/>
      <c r="L14" s="50"/>
      <c r="M14" s="45"/>
      <c r="N14" s="45"/>
    </row>
    <row r="15" spans="2:19" s="22" customFormat="1" ht="12.95" customHeight="1">
      <c r="B15" s="44"/>
      <c r="C15" s="51"/>
      <c r="D15" s="45"/>
      <c r="E15" s="51"/>
      <c r="F15" s="47"/>
      <c r="G15" s="47"/>
      <c r="H15" s="47"/>
      <c r="I15" s="48"/>
      <c r="J15" s="48"/>
      <c r="K15" s="49"/>
      <c r="L15" s="50"/>
      <c r="M15" s="45"/>
      <c r="N15" s="45"/>
    </row>
    <row r="16" spans="2:19" s="22" customFormat="1" ht="12.95" customHeight="1">
      <c r="B16"/>
      <c r="C16"/>
      <c r="D16"/>
      <c r="E16"/>
      <c r="F16" s="37"/>
      <c r="G16" s="37"/>
      <c r="H16"/>
      <c r="I16" s="37"/>
      <c r="J16" s="37"/>
      <c r="K16"/>
      <c r="L16" s="38"/>
      <c r="M16"/>
      <c r="N16"/>
    </row>
    <row r="17" spans="2:19" s="22" customFormat="1" ht="12.95" customHeight="1">
      <c r="B17"/>
      <c r="C17"/>
      <c r="D17" s="38"/>
      <c r="E17"/>
      <c r="F17" s="37"/>
      <c r="G17" s="37"/>
      <c r="H17"/>
      <c r="I17" s="37"/>
      <c r="J17" s="37"/>
      <c r="K17"/>
      <c r="L17" s="38"/>
      <c r="M17"/>
      <c r="N17"/>
    </row>
    <row r="18" spans="2:19" s="22" customFormat="1" ht="12.95" customHeight="1">
      <c r="B18"/>
      <c r="C18"/>
      <c r="D18"/>
      <c r="E18"/>
      <c r="F18" s="37"/>
      <c r="G18" s="37"/>
      <c r="H18"/>
      <c r="I18" s="37"/>
      <c r="J18" s="37"/>
      <c r="K18"/>
      <c r="L18"/>
      <c r="M18"/>
      <c r="N18"/>
    </row>
    <row r="19" spans="2:19" s="22" customFormat="1" ht="12.95" customHeight="1">
      <c r="B19"/>
      <c r="C19"/>
      <c r="D19"/>
      <c r="E19"/>
      <c r="F19" s="37"/>
      <c r="G19" s="37"/>
      <c r="H19"/>
      <c r="I19" s="37"/>
      <c r="J19" s="37"/>
      <c r="K19"/>
      <c r="L19"/>
      <c r="M19"/>
      <c r="N19"/>
    </row>
    <row r="20" spans="2:19" s="22" customFormat="1" ht="12.95" customHeight="1">
      <c r="B20"/>
      <c r="C20"/>
      <c r="D20"/>
      <c r="E20"/>
      <c r="F20" s="37"/>
      <c r="G20" s="37"/>
      <c r="H20"/>
      <c r="I20" s="37"/>
      <c r="J20" s="37"/>
      <c r="K20"/>
      <c r="L20"/>
      <c r="M20"/>
      <c r="N20"/>
    </row>
    <row r="21" spans="2:19" s="22" customFormat="1" ht="12.95" customHeight="1">
      <c r="B21"/>
      <c r="C21"/>
      <c r="D21"/>
      <c r="E21"/>
      <c r="F21" s="37"/>
      <c r="G21" s="37"/>
      <c r="H21"/>
      <c r="I21" s="37"/>
      <c r="J21" s="37"/>
      <c r="K21"/>
      <c r="L21"/>
      <c r="M21"/>
      <c r="N21"/>
    </row>
    <row r="22" spans="2:19" s="22" customFormat="1" ht="12.95" customHeight="1">
      <c r="B22"/>
      <c r="C22"/>
      <c r="D22"/>
      <c r="E22"/>
      <c r="F22" s="37"/>
      <c r="G22" s="37"/>
      <c r="H22"/>
      <c r="I22" s="37"/>
      <c r="J22" s="37"/>
      <c r="K22"/>
      <c r="L22"/>
      <c r="M22"/>
      <c r="N22"/>
    </row>
    <row r="23" spans="2:19" s="22" customFormat="1" ht="12.95" customHeight="1">
      <c r="B23"/>
      <c r="C23"/>
      <c r="D23"/>
      <c r="E23"/>
      <c r="F23" s="37"/>
      <c r="G23" s="37"/>
      <c r="H23"/>
      <c r="I23" s="37"/>
      <c r="J23" s="37"/>
      <c r="K23"/>
      <c r="L23"/>
      <c r="M23"/>
      <c r="N23"/>
    </row>
    <row r="24" spans="2:19" s="22" customFormat="1" ht="12.95" customHeight="1">
      <c r="B24"/>
      <c r="C24"/>
      <c r="D24"/>
      <c r="E24"/>
      <c r="F24" s="37"/>
      <c r="G24" s="37"/>
      <c r="H24"/>
      <c r="I24" s="37"/>
      <c r="J24" s="37"/>
      <c r="K24"/>
      <c r="L24"/>
      <c r="M24"/>
      <c r="N24"/>
    </row>
    <row r="28" spans="2:19" s="51" customFormat="1" ht="12.95" customHeight="1">
      <c r="B28"/>
      <c r="C28"/>
      <c r="D28"/>
      <c r="E28"/>
      <c r="F28" s="37"/>
      <c r="G28" s="37"/>
      <c r="H28"/>
      <c r="I28" s="37"/>
      <c r="J28" s="37"/>
      <c r="K28"/>
      <c r="L28"/>
      <c r="M28"/>
      <c r="N28"/>
      <c r="R28" s="52"/>
      <c r="S28" s="52"/>
    </row>
    <row r="29" spans="2:19" s="51" customFormat="1" ht="12.95" customHeight="1">
      <c r="B29"/>
      <c r="C29"/>
      <c r="D29"/>
      <c r="E29"/>
      <c r="F29" s="37"/>
      <c r="G29" s="37"/>
      <c r="H29"/>
      <c r="I29" s="37"/>
      <c r="J29" s="37"/>
      <c r="K29"/>
      <c r="L29"/>
      <c r="M29"/>
      <c r="N29"/>
      <c r="R29" s="52"/>
      <c r="S29" s="52"/>
    </row>
    <row r="30" spans="2:19" s="51" customFormat="1" ht="12.95" customHeight="1">
      <c r="B30"/>
      <c r="C30"/>
      <c r="D30"/>
      <c r="E30"/>
      <c r="F30" s="37"/>
      <c r="G30" s="37"/>
      <c r="H30"/>
      <c r="I30" s="37"/>
      <c r="J30" s="37"/>
      <c r="K30"/>
      <c r="L30"/>
      <c r="M30"/>
      <c r="N30"/>
      <c r="R30" s="52"/>
      <c r="S30" s="52"/>
    </row>
    <row r="31" spans="2:19" s="51" customFormat="1" ht="12.95" customHeight="1">
      <c r="B31"/>
      <c r="C31"/>
      <c r="D31"/>
      <c r="E31"/>
      <c r="F31" s="37"/>
      <c r="G31" s="37"/>
      <c r="H31"/>
      <c r="I31" s="37"/>
      <c r="J31" s="37"/>
      <c r="K31"/>
      <c r="L31"/>
      <c r="M31"/>
      <c r="N31"/>
      <c r="R31" s="52"/>
      <c r="S31" s="52"/>
    </row>
    <row r="32" spans="2:19" s="51" customFormat="1" ht="12.95" customHeight="1">
      <c r="B32"/>
      <c r="C32"/>
      <c r="D32"/>
      <c r="E32"/>
      <c r="F32" s="37"/>
      <c r="G32" s="37"/>
      <c r="H32"/>
      <c r="I32" s="37"/>
      <c r="J32" s="37"/>
      <c r="K32"/>
      <c r="L32"/>
      <c r="M32"/>
      <c r="N32"/>
      <c r="R32" s="52"/>
      <c r="S32" s="52"/>
    </row>
    <row r="33" spans="2:19" s="51" customFormat="1" ht="12.95" customHeight="1">
      <c r="B33"/>
      <c r="C33"/>
      <c r="D33"/>
      <c r="E33"/>
      <c r="F33" s="37"/>
      <c r="G33" s="37"/>
      <c r="H33"/>
      <c r="I33" s="37"/>
      <c r="J33" s="37"/>
      <c r="K33"/>
      <c r="L33"/>
      <c r="M33"/>
      <c r="N33"/>
      <c r="R33" s="52"/>
      <c r="S33" s="52"/>
    </row>
  </sheetData>
  <mergeCells count="10">
    <mergeCell ref="D2:D3"/>
    <mergeCell ref="R2:S2"/>
    <mergeCell ref="B2:B3"/>
    <mergeCell ref="C2:C3"/>
    <mergeCell ref="E2:E3"/>
    <mergeCell ref="L2:L3"/>
    <mergeCell ref="F2:H2"/>
    <mergeCell ref="I2:K2"/>
    <mergeCell ref="M2:M3"/>
    <mergeCell ref="N2:N3"/>
  </mergeCells>
  <conditionalFormatting sqref="C20:C49990 C10:C11 C7:C8">
    <cfRule type="expression" dxfId="31" priority="49">
      <formula>AND(id&lt;&gt;$C7,$C7&lt;&gt;"")</formula>
    </cfRule>
  </conditionalFormatting>
  <conditionalFormatting sqref="B17:B49990">
    <cfRule type="expression" dxfId="30" priority="44">
      <formula>OR(AND($B17&lt;&gt;1+SUM($B16),$B17&lt;&gt;""),AND($B17="",COUNTA($C17:$E17)&gt;0))</formula>
    </cfRule>
  </conditionalFormatting>
  <conditionalFormatting sqref="L7:L49990">
    <cfRule type="expression" dxfId="29" priority="55">
      <formula>OR(AND($L7&lt;&gt;"",date_from&gt;$L7),AND($L7&lt;&gt;"",date_to&lt;$L7))</formula>
    </cfRule>
  </conditionalFormatting>
  <conditionalFormatting sqref="H15:H49991 H7:H8 H10:H11 E7 E11:E12">
    <cfRule type="expression" dxfId="28" priority="41">
      <formula>AND(D7&lt;&gt;"",E7="")</formula>
    </cfRule>
  </conditionalFormatting>
  <conditionalFormatting sqref="H15:H49992 H7:H8 H10:H11 K10:K49992 K7 F7:G49992 I7:J49992 L7:L49992">
    <cfRule type="expression" dxfId="27" priority="40">
      <formula>AND(F7&lt;&gt;"",SUM(F7)&lt;=0)</formula>
    </cfRule>
  </conditionalFormatting>
  <conditionalFormatting sqref="H10:H11 H15:H49993 H7:H8 K10:K49993 K7">
    <cfRule type="expression" dxfId="26" priority="39">
      <formula>AND(H7&lt;&gt;"",H7&lt;&gt;G7-F7)</formula>
    </cfRule>
  </conditionalFormatting>
  <conditionalFormatting sqref="K15:K49990 K10:K11 K7">
    <cfRule type="expression" dxfId="25" priority="37">
      <formula>AND($K7&lt;&gt;"",$H7&lt;&gt;"",TEXT($K7,"0.00")&lt;&gt;TEXT($H7,"0.00"))</formula>
    </cfRule>
  </conditionalFormatting>
  <conditionalFormatting sqref="M7:M49990">
    <cfRule type="expression" dxfId="24" priority="36">
      <formula>AND($M7&lt;&gt;"",COUNTIF(seam_sll,$M7)=0)</formula>
    </cfRule>
  </conditionalFormatting>
  <conditionalFormatting sqref="K10:K49991 K7 I7:J49991 L7:M49991">
    <cfRule type="expression" dxfId="23" priority="86">
      <formula>AND(#REF!&lt;&gt;"",I7="")</formula>
    </cfRule>
  </conditionalFormatting>
  <conditionalFormatting sqref="F7:G49991">
    <cfRule type="expression" dxfId="22" priority="119">
      <formula>AND(#REF!&lt;&gt;"",F7="")</formula>
    </cfRule>
  </conditionalFormatting>
  <conditionalFormatting sqref="K13">
    <cfRule type="expression" dxfId="21" priority="158">
      <formula>AND($K13&lt;&gt;"",#REF!&lt;&gt;"",TEXT($K13,"0.00")&lt;&gt;TEXT(#REF!,"0.00"))</formula>
    </cfRule>
  </conditionalFormatting>
  <conditionalFormatting sqref="K12">
    <cfRule type="expression" dxfId="20" priority="175">
      <formula>AND($K12&lt;&gt;"",#REF!&lt;&gt;"",TEXT($K12,"0.00")&lt;&gt;TEXT(#REF!,"0.00"))</formula>
    </cfRule>
  </conditionalFormatting>
  <conditionalFormatting sqref="B16">
    <cfRule type="expression" dxfId="19" priority="179">
      <formula>OR(AND($B16&lt;&gt;1+SUM(#REF!),$B16&lt;&gt;""),AND($B16="",COUNTA($C16:$E16)&gt;0))</formula>
    </cfRule>
  </conditionalFormatting>
  <conditionalFormatting sqref="B15">
    <cfRule type="expression" dxfId="18" priority="589">
      <formula>OR(AND($B15&lt;&gt;1+SUM($B7),$B15&lt;&gt;""),AND($B15="",COUNTA($C15:$E15)&gt;0))</formula>
    </cfRule>
  </conditionalFormatting>
  <conditionalFormatting sqref="C11">
    <cfRule type="expression" dxfId="17" priority="827">
      <formula>AND(B7&lt;&gt;"",C11="")</formula>
    </cfRule>
  </conditionalFormatting>
  <conditionalFormatting sqref="C20:C49991 D16:E16 D18:E49991 E17">
    <cfRule type="expression" dxfId="16" priority="869">
      <formula>AND(B8&lt;&gt;"",C16="")</formula>
    </cfRule>
  </conditionalFormatting>
  <conditionalFormatting sqref="C8 C10">
    <cfRule type="expression" dxfId="15" priority="870">
      <formula>AND(B16&lt;&gt;"",C8="")</formula>
    </cfRule>
  </conditionalFormatting>
  <conditionalFormatting sqref="D7:D15">
    <cfRule type="expression" dxfId="14" priority="871">
      <formula>AND(#REF!&lt;&gt;"",D7="")</formula>
    </cfRule>
  </conditionalFormatting>
  <conditionalFormatting sqref="B15 D7:D16 D18:D49990">
    <cfRule type="expression" dxfId="13" priority="1019">
      <formula>AND($D7&lt;&gt;"",COUNTIF($S$4:$S$10,$D7)=0)</formula>
    </cfRule>
  </conditionalFormatting>
  <conditionalFormatting sqref="C11">
    <cfRule type="expression" dxfId="12" priority="1041">
      <formula>AND($D14&lt;&gt;"",COUNTIF($S$4:$S$10,$D14)=0)</formula>
    </cfRule>
  </conditionalFormatting>
  <conditionalFormatting sqref="B7">
    <cfRule type="expression" dxfId="11" priority="1045">
      <formula>AND($D14&lt;&gt;"",COUNTIF($S$4:$S$10,$D14)=0)</formula>
    </cfRule>
  </conditionalFormatting>
  <conditionalFormatting sqref="E20:E49990">
    <cfRule type="expression" dxfId="10" priority="1074">
      <formula>AND($E20&lt;&gt;"",$E20&lt;&gt;$C20&amp;"_"&amp;INDEX($R$4:$R$10,MATCH($D20,$S$4:$S$10,0))&amp;$B20)</formula>
    </cfRule>
  </conditionalFormatting>
  <conditionalFormatting sqref="E19">
    <cfRule type="expression" dxfId="9" priority="1088">
      <formula>AND($E19&lt;&gt;"",$E19&lt;&gt;#REF!&amp;"_"&amp;INDEX($R$4:$R$10,MATCH($D19,$S$4:$S$10,0))&amp;$B19)</formula>
    </cfRule>
  </conditionalFormatting>
  <conditionalFormatting sqref="E11">
    <cfRule type="expression" dxfId="8" priority="1089">
      <formula>AND($E11&lt;&gt;"",$E11&lt;&gt;#REF!&amp;"_"&amp;INDEX($R$4:$R$10,MATCH($D11,$S$4:$S$10,0))&amp;#REF!)</formula>
    </cfRule>
  </conditionalFormatting>
  <conditionalFormatting sqref="E16 E18">
    <cfRule type="expression" dxfId="7" priority="1093">
      <formula>AND($E16&lt;&gt;"",$E16&lt;&gt;$C8&amp;"_"&amp;INDEX($R$4:$R$10,MATCH($D16,$S$4:$S$10,0))&amp;$B16)</formula>
    </cfRule>
  </conditionalFormatting>
  <conditionalFormatting sqref="C7">
    <cfRule type="expression" dxfId="6" priority="1160">
      <formula>AND(B17&lt;&gt;"",C7="")</formula>
    </cfRule>
  </conditionalFormatting>
  <conditionalFormatting sqref="E17">
    <cfRule type="expression" dxfId="5" priority="1172">
      <formula>AND($E17&lt;&gt;"",$E17&lt;&gt;$C7&amp;"_"&amp;INDEX($R$4:$R$10,MATCH($D17,$S$4:$S$10,0))&amp;$B17)</formula>
    </cfRule>
  </conditionalFormatting>
  <conditionalFormatting sqref="B7">
    <cfRule type="expression" dxfId="4" priority="1353">
      <formula>OR(AND($B7&lt;&gt;1+SUM(#REF!),$B7&lt;&gt;""),AND($B7="",COUNTA($C14:$E14)&gt;0))</formula>
    </cfRule>
  </conditionalFormatting>
  <conditionalFormatting sqref="K14">
    <cfRule type="expression" dxfId="3" priority="1423">
      <formula>AND($K14&lt;&gt;"",#REF!&lt;&gt;"",TEXT($K14,"0.00")&lt;&gt;TEXT(#REF!,"0.00"))</formula>
    </cfRule>
  </conditionalFormatting>
  <conditionalFormatting sqref="E7 E12">
    <cfRule type="expression" dxfId="2" priority="1424">
      <formula>AND($E7&lt;&gt;"",$E7&lt;&gt;#REF!&amp;"_"&amp;INDEX($R$4:$R$10,MATCH($D7,$S$4:$S$10,0))&amp;#REF!)</formula>
    </cfRule>
  </conditionalFormatting>
  <conditionalFormatting sqref="B7">
    <cfRule type="expression" dxfId="1" priority="1427">
      <formula>AND(#REF!&lt;&gt;"",B7="")</formula>
    </cfRule>
  </conditionalFormatting>
  <conditionalFormatting sqref="B15">
    <cfRule type="expression" dxfId="0" priority="1428">
      <formula>AND(#REF!&lt;&gt;"",B15="")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T58"/>
  <sheetViews>
    <sheetView showGridLines="0" zoomScale="90" zoomScaleNormal="90" workbookViewId="0">
      <selection activeCell="W25" sqref="W25"/>
    </sheetView>
  </sheetViews>
  <sheetFormatPr defaultColWidth="9.140625" defaultRowHeight="12"/>
  <cols>
    <col min="1" max="1" width="4.85546875" style="1" bestFit="1" customWidth="1"/>
    <col min="2" max="2" width="15.85546875" style="1" customWidth="1"/>
    <col min="3" max="3" width="0.85546875" style="1" customWidth="1"/>
    <col min="4" max="4" width="4.85546875" style="1" bestFit="1" customWidth="1"/>
    <col min="5" max="5" width="18.28515625" style="1" bestFit="1" customWidth="1"/>
    <col min="6" max="6" width="0.85546875" style="1" customWidth="1"/>
    <col min="7" max="7" width="4.85546875" style="1" bestFit="1" customWidth="1"/>
    <col min="8" max="8" width="18.42578125" style="1" customWidth="1"/>
    <col min="9" max="9" width="0.85546875" style="1" customWidth="1"/>
    <col min="10" max="10" width="4.7109375" style="1" customWidth="1"/>
    <col min="11" max="11" width="15.85546875" style="1" customWidth="1"/>
    <col min="12" max="12" width="0.85546875" style="1" customWidth="1"/>
    <col min="13" max="13" width="5.85546875" style="1" customWidth="1"/>
    <col min="14" max="14" width="20.85546875" style="1" bestFit="1" customWidth="1"/>
    <col min="15" max="15" width="0.85546875" style="1" customWidth="1"/>
    <col min="16" max="16" width="4.85546875" style="1" bestFit="1" customWidth="1"/>
    <col min="17" max="17" width="19.42578125" style="1" customWidth="1"/>
    <col min="18" max="18" width="0.85546875" style="1" customWidth="1"/>
    <col min="19" max="19" width="4.85546875" style="1" bestFit="1" customWidth="1"/>
    <col min="20" max="20" width="15.5703125" style="1" customWidth="1"/>
    <col min="21" max="22" width="0.85546875" style="1" customWidth="1"/>
    <col min="23" max="24" width="9.140625" style="1"/>
    <col min="25" max="25" width="0.85546875" style="1" customWidth="1"/>
    <col min="26" max="16384" width="9.140625" style="1"/>
  </cols>
  <sheetData>
    <row r="1" spans="1:20">
      <c r="A1" s="267" t="s">
        <v>31</v>
      </c>
      <c r="B1" s="267"/>
      <c r="D1" s="267" t="s">
        <v>63</v>
      </c>
      <c r="E1" s="267"/>
      <c r="F1" s="11"/>
      <c r="G1" s="267" t="s">
        <v>142</v>
      </c>
      <c r="H1" s="267"/>
      <c r="J1" s="267" t="s">
        <v>25</v>
      </c>
      <c r="K1" s="267"/>
      <c r="M1" s="265" t="s">
        <v>443</v>
      </c>
      <c r="N1" s="266"/>
      <c r="P1" s="265" t="s">
        <v>256</v>
      </c>
      <c r="Q1" s="266"/>
      <c r="S1" s="267" t="s">
        <v>330</v>
      </c>
      <c r="T1" s="267"/>
    </row>
    <row r="2" spans="1:20">
      <c r="A2" s="9" t="s">
        <v>241</v>
      </c>
      <c r="B2" s="10" t="s">
        <v>298</v>
      </c>
      <c r="D2" s="9" t="s">
        <v>64</v>
      </c>
      <c r="E2" s="10" t="s">
        <v>65</v>
      </c>
      <c r="G2" s="9" t="s">
        <v>387</v>
      </c>
      <c r="H2" s="10" t="s">
        <v>143</v>
      </c>
      <c r="J2" s="9" t="s">
        <v>191</v>
      </c>
      <c r="K2" s="10" t="s">
        <v>192</v>
      </c>
      <c r="M2" s="9" t="s">
        <v>385</v>
      </c>
      <c r="N2" s="10" t="s">
        <v>386</v>
      </c>
      <c r="O2" s="12" t="s">
        <v>190</v>
      </c>
      <c r="P2" s="9" t="s">
        <v>515</v>
      </c>
      <c r="Q2" s="10" t="s">
        <v>516</v>
      </c>
      <c r="S2" s="9" t="s">
        <v>444</v>
      </c>
      <c r="T2" s="10" t="s">
        <v>445</v>
      </c>
    </row>
    <row r="3" spans="1:20">
      <c r="A3" s="9" t="s">
        <v>297</v>
      </c>
      <c r="B3" s="10" t="s">
        <v>299</v>
      </c>
      <c r="D3" s="9" t="s">
        <v>387</v>
      </c>
      <c r="E3" s="10" t="s">
        <v>66</v>
      </c>
      <c r="G3" s="9" t="s">
        <v>464</v>
      </c>
      <c r="H3" s="10" t="s">
        <v>144</v>
      </c>
      <c r="J3" s="9" t="s">
        <v>77</v>
      </c>
      <c r="K3" s="10" t="s">
        <v>193</v>
      </c>
      <c r="M3" s="9" t="s">
        <v>387</v>
      </c>
      <c r="N3" s="10" t="s">
        <v>388</v>
      </c>
      <c r="O3" s="12" t="s">
        <v>190</v>
      </c>
      <c r="P3" s="9" t="s">
        <v>85</v>
      </c>
      <c r="Q3" s="10" t="s">
        <v>257</v>
      </c>
      <c r="S3" s="9" t="s">
        <v>446</v>
      </c>
      <c r="T3" s="10" t="s">
        <v>447</v>
      </c>
    </row>
    <row r="4" spans="1:20">
      <c r="A4" s="265" t="s">
        <v>536</v>
      </c>
      <c r="B4" s="266"/>
      <c r="D4" s="9" t="s">
        <v>67</v>
      </c>
      <c r="E4" s="10" t="s">
        <v>68</v>
      </c>
      <c r="G4" s="9" t="s">
        <v>448</v>
      </c>
      <c r="H4" s="10" t="s">
        <v>145</v>
      </c>
      <c r="J4" s="9" t="s">
        <v>194</v>
      </c>
      <c r="K4" s="10" t="s">
        <v>195</v>
      </c>
      <c r="M4" s="9" t="s">
        <v>232</v>
      </c>
      <c r="N4" s="10" t="s">
        <v>359</v>
      </c>
      <c r="O4" s="12" t="s">
        <v>190</v>
      </c>
      <c r="P4" s="9" t="s">
        <v>258</v>
      </c>
      <c r="Q4" s="10" t="s">
        <v>259</v>
      </c>
      <c r="S4" s="9" t="s">
        <v>448</v>
      </c>
      <c r="T4" s="10" t="s">
        <v>449</v>
      </c>
    </row>
    <row r="5" spans="1:20">
      <c r="A5" s="30" t="s">
        <v>209</v>
      </c>
      <c r="B5" s="30" t="s">
        <v>542</v>
      </c>
      <c r="D5" s="9" t="s">
        <v>69</v>
      </c>
      <c r="E5" s="10" t="s">
        <v>70</v>
      </c>
      <c r="G5" s="9" t="s">
        <v>79</v>
      </c>
      <c r="H5" s="10" t="s">
        <v>146</v>
      </c>
      <c r="J5" s="9" t="s">
        <v>196</v>
      </c>
      <c r="K5" s="10" t="s">
        <v>197</v>
      </c>
      <c r="M5" s="9" t="s">
        <v>363</v>
      </c>
      <c r="N5" s="10" t="s">
        <v>364</v>
      </c>
      <c r="O5" s="12" t="s">
        <v>190</v>
      </c>
      <c r="P5" s="9" t="s">
        <v>260</v>
      </c>
      <c r="Q5" s="10" t="s">
        <v>261</v>
      </c>
      <c r="S5" s="9" t="s">
        <v>450</v>
      </c>
      <c r="T5" s="10" t="s">
        <v>451</v>
      </c>
    </row>
    <row r="6" spans="1:20">
      <c r="A6" s="30" t="s">
        <v>538</v>
      </c>
      <c r="B6" s="30" t="s">
        <v>543</v>
      </c>
      <c r="D6" s="9" t="s">
        <v>71</v>
      </c>
      <c r="E6" s="10" t="s">
        <v>72</v>
      </c>
      <c r="G6" s="9" t="s">
        <v>83</v>
      </c>
      <c r="H6" s="10" t="s">
        <v>147</v>
      </c>
      <c r="J6" s="9" t="s">
        <v>198</v>
      </c>
      <c r="K6" s="10" t="s">
        <v>199</v>
      </c>
      <c r="M6" s="9" t="s">
        <v>389</v>
      </c>
      <c r="N6" s="10" t="s">
        <v>390</v>
      </c>
      <c r="O6" s="1" t="s">
        <v>190</v>
      </c>
      <c r="P6" s="9" t="s">
        <v>262</v>
      </c>
      <c r="Q6" s="10" t="s">
        <v>263</v>
      </c>
      <c r="S6" s="9" t="s">
        <v>452</v>
      </c>
      <c r="T6" s="10" t="s">
        <v>453</v>
      </c>
    </row>
    <row r="7" spans="1:20">
      <c r="A7" s="30" t="s">
        <v>346</v>
      </c>
      <c r="B7" s="39" t="s">
        <v>545</v>
      </c>
      <c r="D7" s="9" t="s">
        <v>73</v>
      </c>
      <c r="E7" s="10" t="s">
        <v>74</v>
      </c>
      <c r="G7" s="9" t="s">
        <v>203</v>
      </c>
      <c r="H7" s="10" t="s">
        <v>148</v>
      </c>
      <c r="J7" s="9" t="s">
        <v>83</v>
      </c>
      <c r="K7" s="10" t="s">
        <v>200</v>
      </c>
      <c r="M7" s="9" t="s">
        <v>294</v>
      </c>
      <c r="N7" s="10" t="s">
        <v>391</v>
      </c>
      <c r="O7" s="1" t="s">
        <v>190</v>
      </c>
      <c r="P7" s="9" t="s">
        <v>234</v>
      </c>
      <c r="Q7" s="10" t="s">
        <v>264</v>
      </c>
      <c r="S7" s="9" t="s">
        <v>454</v>
      </c>
      <c r="T7" s="10" t="s">
        <v>455</v>
      </c>
    </row>
    <row r="8" spans="1:20">
      <c r="A8" s="30" t="s">
        <v>207</v>
      </c>
      <c r="B8" s="30" t="s">
        <v>547</v>
      </c>
      <c r="D8" s="9" t="s">
        <v>75</v>
      </c>
      <c r="E8" s="10" t="s">
        <v>76</v>
      </c>
      <c r="G8" s="9" t="s">
        <v>408</v>
      </c>
      <c r="H8" s="10" t="s">
        <v>149</v>
      </c>
      <c r="J8" s="9" t="s">
        <v>201</v>
      </c>
      <c r="K8" s="10" t="s">
        <v>202</v>
      </c>
      <c r="M8" s="9" t="s">
        <v>392</v>
      </c>
      <c r="N8" s="10" t="s">
        <v>393</v>
      </c>
      <c r="O8" s="11" t="s">
        <v>190</v>
      </c>
      <c r="P8" s="265" t="s">
        <v>265</v>
      </c>
      <c r="Q8" s="266"/>
      <c r="S8" s="9" t="s">
        <v>406</v>
      </c>
      <c r="T8" s="10" t="s">
        <v>456</v>
      </c>
    </row>
    <row r="9" spans="1:20">
      <c r="A9" s="30" t="s">
        <v>353</v>
      </c>
      <c r="B9" s="30" t="s">
        <v>544</v>
      </c>
      <c r="D9" s="9" t="s">
        <v>77</v>
      </c>
      <c r="E9" s="10" t="s">
        <v>78</v>
      </c>
      <c r="G9" s="9" t="s">
        <v>465</v>
      </c>
      <c r="H9" s="10" t="s">
        <v>150</v>
      </c>
      <c r="J9" s="9" t="s">
        <v>203</v>
      </c>
      <c r="K9" s="10" t="s">
        <v>204</v>
      </c>
      <c r="M9" s="9" t="s">
        <v>394</v>
      </c>
      <c r="N9" s="10" t="s">
        <v>395</v>
      </c>
      <c r="O9" s="12" t="s">
        <v>190</v>
      </c>
      <c r="P9" s="9" t="s">
        <v>266</v>
      </c>
      <c r="Q9" s="10" t="s">
        <v>267</v>
      </c>
      <c r="S9" s="9" t="s">
        <v>408</v>
      </c>
      <c r="T9" s="10" t="s">
        <v>457</v>
      </c>
    </row>
    <row r="10" spans="1:20">
      <c r="A10" s="30" t="s">
        <v>228</v>
      </c>
      <c r="B10" s="30" t="s">
        <v>55</v>
      </c>
      <c r="D10" s="9" t="s">
        <v>79</v>
      </c>
      <c r="E10" s="10" t="s">
        <v>80</v>
      </c>
      <c r="G10" s="9" t="s">
        <v>406</v>
      </c>
      <c r="H10" s="10" t="s">
        <v>151</v>
      </c>
      <c r="J10" s="9" t="s">
        <v>205</v>
      </c>
      <c r="K10" s="10" t="s">
        <v>206</v>
      </c>
      <c r="M10" s="9" t="s">
        <v>233</v>
      </c>
      <c r="N10" s="10" t="s">
        <v>396</v>
      </c>
      <c r="O10" s="12"/>
      <c r="P10" s="9" t="s">
        <v>268</v>
      </c>
      <c r="Q10" s="10" t="s">
        <v>269</v>
      </c>
      <c r="S10" s="9" t="s">
        <v>458</v>
      </c>
      <c r="T10" s="10" t="s">
        <v>459</v>
      </c>
    </row>
    <row r="11" spans="1:20">
      <c r="A11" s="30" t="s">
        <v>344</v>
      </c>
      <c r="B11" s="30" t="s">
        <v>541</v>
      </c>
      <c r="D11" s="9" t="s">
        <v>81</v>
      </c>
      <c r="E11" s="10" t="s">
        <v>82</v>
      </c>
      <c r="G11" s="9" t="s">
        <v>291</v>
      </c>
      <c r="H11" s="10" t="s">
        <v>152</v>
      </c>
      <c r="J11" s="12"/>
      <c r="M11" s="9" t="s">
        <v>397</v>
      </c>
      <c r="N11" s="10" t="s">
        <v>398</v>
      </c>
      <c r="O11" s="12"/>
      <c r="P11" s="9" t="s">
        <v>270</v>
      </c>
      <c r="Q11" s="10" t="s">
        <v>271</v>
      </c>
      <c r="S11" s="9" t="s">
        <v>296</v>
      </c>
      <c r="T11" s="10" t="s">
        <v>460</v>
      </c>
    </row>
    <row r="12" spans="1:20">
      <c r="A12" s="30" t="s">
        <v>211</v>
      </c>
      <c r="B12" s="30" t="s">
        <v>540</v>
      </c>
      <c r="D12" s="9" t="s">
        <v>83</v>
      </c>
      <c r="E12" s="10" t="s">
        <v>84</v>
      </c>
      <c r="F12" s="11"/>
      <c r="G12" s="9" t="s">
        <v>466</v>
      </c>
      <c r="H12" s="10" t="s">
        <v>153</v>
      </c>
      <c r="J12" s="265" t="s">
        <v>230</v>
      </c>
      <c r="K12" s="266"/>
      <c r="M12" s="9" t="s">
        <v>399</v>
      </c>
      <c r="N12" s="10" t="s">
        <v>400</v>
      </c>
      <c r="O12" s="12" t="s">
        <v>190</v>
      </c>
      <c r="P12" s="9" t="s">
        <v>272</v>
      </c>
      <c r="Q12" s="10" t="s">
        <v>273</v>
      </c>
      <c r="S12" s="9" t="s">
        <v>461</v>
      </c>
      <c r="T12" s="10" t="s">
        <v>462</v>
      </c>
    </row>
    <row r="13" spans="1:20">
      <c r="A13" s="30" t="s">
        <v>537</v>
      </c>
      <c r="B13" s="30" t="s">
        <v>539</v>
      </c>
      <c r="D13" s="9" t="s">
        <v>85</v>
      </c>
      <c r="E13" s="10" t="s">
        <v>86</v>
      </c>
      <c r="G13" s="9" t="s">
        <v>467</v>
      </c>
      <c r="H13" s="10" t="s">
        <v>154</v>
      </c>
      <c r="J13" s="9" t="s">
        <v>207</v>
      </c>
      <c r="K13" s="10" t="s">
        <v>208</v>
      </c>
      <c r="M13" s="9" t="s">
        <v>401</v>
      </c>
      <c r="N13" s="10" t="s">
        <v>402</v>
      </c>
      <c r="O13" s="12" t="s">
        <v>190</v>
      </c>
      <c r="P13" s="9" t="s">
        <v>67</v>
      </c>
      <c r="Q13" s="10" t="s">
        <v>274</v>
      </c>
      <c r="S13" s="265" t="s">
        <v>504</v>
      </c>
      <c r="T13" s="266"/>
    </row>
    <row r="14" spans="1:20">
      <c r="A14" s="265" t="s">
        <v>3</v>
      </c>
      <c r="B14" s="266"/>
      <c r="D14" s="9" t="s">
        <v>87</v>
      </c>
      <c r="E14" s="10" t="s">
        <v>88</v>
      </c>
      <c r="G14" s="9" t="s">
        <v>201</v>
      </c>
      <c r="H14" s="10" t="s">
        <v>155</v>
      </c>
      <c r="J14" s="9" t="s">
        <v>209</v>
      </c>
      <c r="K14" s="10" t="s">
        <v>210</v>
      </c>
      <c r="M14" s="9" t="s">
        <v>403</v>
      </c>
      <c r="N14" s="10" t="s">
        <v>404</v>
      </c>
      <c r="O14" s="12" t="s">
        <v>190</v>
      </c>
      <c r="P14" s="9" t="s">
        <v>275</v>
      </c>
      <c r="Q14" s="10" t="s">
        <v>276</v>
      </c>
      <c r="S14" s="9" t="s">
        <v>444</v>
      </c>
      <c r="T14" s="10" t="s">
        <v>487</v>
      </c>
    </row>
    <row r="15" spans="1:20">
      <c r="A15" s="30" t="s">
        <v>209</v>
      </c>
      <c r="B15" s="30" t="s">
        <v>548</v>
      </c>
      <c r="D15" s="9" t="s">
        <v>89</v>
      </c>
      <c r="E15" s="10" t="s">
        <v>90</v>
      </c>
      <c r="G15" s="9" t="s">
        <v>194</v>
      </c>
      <c r="H15" s="10" t="s">
        <v>156</v>
      </c>
      <c r="J15" s="9" t="s">
        <v>211</v>
      </c>
      <c r="K15" s="10" t="s">
        <v>212</v>
      </c>
      <c r="M15" s="9" t="s">
        <v>134</v>
      </c>
      <c r="N15" s="10" t="s">
        <v>405</v>
      </c>
      <c r="O15" s="12" t="s">
        <v>190</v>
      </c>
      <c r="P15" s="9" t="s">
        <v>277</v>
      </c>
      <c r="Q15" s="10" t="s">
        <v>278</v>
      </c>
      <c r="S15" s="9" t="s">
        <v>363</v>
      </c>
      <c r="T15" s="10" t="s">
        <v>488</v>
      </c>
    </row>
    <row r="16" spans="1:20">
      <c r="A16" s="30" t="s">
        <v>224</v>
      </c>
      <c r="B16" s="30" t="s">
        <v>549</v>
      </c>
      <c r="D16" s="9" t="s">
        <v>91</v>
      </c>
      <c r="E16" s="10" t="s">
        <v>92</v>
      </c>
      <c r="G16" s="9" t="s">
        <v>468</v>
      </c>
      <c r="H16" s="10" t="s">
        <v>157</v>
      </c>
      <c r="J16" s="9" t="s">
        <v>213</v>
      </c>
      <c r="K16" s="10" t="s">
        <v>214</v>
      </c>
      <c r="M16" s="9" t="s">
        <v>406</v>
      </c>
      <c r="N16" s="10" t="s">
        <v>407</v>
      </c>
      <c r="O16" s="12" t="s">
        <v>190</v>
      </c>
      <c r="P16" s="9" t="s">
        <v>279</v>
      </c>
      <c r="Q16" s="10" t="s">
        <v>280</v>
      </c>
      <c r="S16" s="9" t="s">
        <v>389</v>
      </c>
      <c r="T16" s="10" t="s">
        <v>489</v>
      </c>
    </row>
    <row r="17" spans="1:20">
      <c r="A17" s="30" t="s">
        <v>241</v>
      </c>
      <c r="B17" s="30" t="s">
        <v>550</v>
      </c>
      <c r="D17" s="9" t="s">
        <v>93</v>
      </c>
      <c r="E17" s="10" t="s">
        <v>94</v>
      </c>
      <c r="G17" s="9" t="s">
        <v>469</v>
      </c>
      <c r="H17" s="10" t="s">
        <v>158</v>
      </c>
      <c r="J17" s="9" t="s">
        <v>215</v>
      </c>
      <c r="K17" s="10" t="s">
        <v>216</v>
      </c>
      <c r="M17" s="9" t="s">
        <v>408</v>
      </c>
      <c r="N17" s="10" t="s">
        <v>409</v>
      </c>
      <c r="O17" s="12" t="s">
        <v>190</v>
      </c>
      <c r="P17" s="9" t="s">
        <v>281</v>
      </c>
      <c r="Q17" s="10" t="s">
        <v>282</v>
      </c>
      <c r="S17" s="9" t="s">
        <v>490</v>
      </c>
      <c r="T17" s="10" t="s">
        <v>491</v>
      </c>
    </row>
    <row r="18" spans="1:20">
      <c r="A18" s="30" t="s">
        <v>305</v>
      </c>
      <c r="B18" s="30" t="s">
        <v>306</v>
      </c>
      <c r="D18" s="9" t="s">
        <v>95</v>
      </c>
      <c r="E18" s="10" t="s">
        <v>96</v>
      </c>
      <c r="G18" s="9" t="s">
        <v>470</v>
      </c>
      <c r="H18" s="10" t="s">
        <v>159</v>
      </c>
      <c r="J18" s="9" t="s">
        <v>217</v>
      </c>
      <c r="K18" s="10" t="s">
        <v>218</v>
      </c>
      <c r="M18" s="9" t="s">
        <v>410</v>
      </c>
      <c r="N18" s="10" t="s">
        <v>411</v>
      </c>
      <c r="P18" s="9" t="s">
        <v>234</v>
      </c>
      <c r="Q18" s="10" t="s">
        <v>283</v>
      </c>
      <c r="S18" s="9" t="s">
        <v>492</v>
      </c>
      <c r="T18" s="10" t="s">
        <v>493</v>
      </c>
    </row>
    <row r="19" spans="1:20">
      <c r="A19" s="30" t="s">
        <v>351</v>
      </c>
      <c r="B19" s="39" t="s">
        <v>302</v>
      </c>
      <c r="D19" s="9" t="s">
        <v>97</v>
      </c>
      <c r="E19" s="10" t="s">
        <v>98</v>
      </c>
      <c r="G19" s="9" t="s">
        <v>471</v>
      </c>
      <c r="H19" s="10" t="s">
        <v>160</v>
      </c>
      <c r="M19" s="9" t="s">
        <v>236</v>
      </c>
      <c r="N19" s="10" t="s">
        <v>412</v>
      </c>
      <c r="O19" s="11"/>
      <c r="P19" s="9" t="s">
        <v>120</v>
      </c>
      <c r="Q19" s="10" t="s">
        <v>284</v>
      </c>
      <c r="S19" s="9" t="s">
        <v>494</v>
      </c>
      <c r="T19" s="10" t="s">
        <v>495</v>
      </c>
    </row>
    <row r="20" spans="1:20">
      <c r="A20" s="30" t="s">
        <v>353</v>
      </c>
      <c r="B20" s="30" t="s">
        <v>304</v>
      </c>
      <c r="D20" s="9" t="s">
        <v>99</v>
      </c>
      <c r="E20" s="10" t="s">
        <v>100</v>
      </c>
      <c r="G20" s="9" t="s">
        <v>238</v>
      </c>
      <c r="H20" s="10" t="s">
        <v>161</v>
      </c>
      <c r="J20" s="265" t="s">
        <v>27</v>
      </c>
      <c r="K20" s="266"/>
      <c r="M20" s="9" t="s">
        <v>413</v>
      </c>
      <c r="N20" s="10" t="s">
        <v>414</v>
      </c>
      <c r="O20" s="12" t="s">
        <v>190</v>
      </c>
      <c r="P20" s="9" t="s">
        <v>285</v>
      </c>
      <c r="Q20" s="10" t="s">
        <v>286</v>
      </c>
      <c r="S20" s="9" t="s">
        <v>134</v>
      </c>
      <c r="T20" s="10" t="s">
        <v>496</v>
      </c>
    </row>
    <row r="21" spans="1:20">
      <c r="A21" s="30" t="s">
        <v>219</v>
      </c>
      <c r="B21" s="30" t="s">
        <v>300</v>
      </c>
      <c r="D21" s="9" t="s">
        <v>101</v>
      </c>
      <c r="E21" s="10" t="s">
        <v>102</v>
      </c>
      <c r="G21" s="9" t="s">
        <v>472</v>
      </c>
      <c r="H21" s="10" t="s">
        <v>162</v>
      </c>
      <c r="J21" s="9" t="s">
        <v>219</v>
      </c>
      <c r="K21" s="10" t="s">
        <v>220</v>
      </c>
      <c r="M21" s="9" t="s">
        <v>240</v>
      </c>
      <c r="N21" s="10" t="s">
        <v>415</v>
      </c>
      <c r="O21" s="12" t="s">
        <v>190</v>
      </c>
      <c r="P21" s="9" t="s">
        <v>287</v>
      </c>
      <c r="Q21" s="10" t="s">
        <v>288</v>
      </c>
      <c r="S21" s="9" t="s">
        <v>406</v>
      </c>
      <c r="T21" s="10" t="s">
        <v>497</v>
      </c>
    </row>
    <row r="22" spans="1:20">
      <c r="A22" s="30" t="s">
        <v>211</v>
      </c>
      <c r="B22" s="30" t="s">
        <v>303</v>
      </c>
      <c r="D22" s="9" t="s">
        <v>103</v>
      </c>
      <c r="E22" s="10" t="s">
        <v>104</v>
      </c>
      <c r="G22" s="9" t="s">
        <v>285</v>
      </c>
      <c r="H22" s="10" t="s">
        <v>163</v>
      </c>
      <c r="J22" s="9" t="s">
        <v>221</v>
      </c>
      <c r="K22" s="10" t="s">
        <v>222</v>
      </c>
      <c r="M22" s="9" t="s">
        <v>551</v>
      </c>
      <c r="N22" s="10" t="s">
        <v>552</v>
      </c>
      <c r="O22" s="12" t="s">
        <v>190</v>
      </c>
      <c r="P22" s="9" t="s">
        <v>289</v>
      </c>
      <c r="Q22" s="10" t="s">
        <v>290</v>
      </c>
      <c r="S22" s="9" t="s">
        <v>498</v>
      </c>
      <c r="T22" s="10" t="s">
        <v>499</v>
      </c>
    </row>
    <row r="23" spans="1:20">
      <c r="A23" s="30" t="s">
        <v>537</v>
      </c>
      <c r="B23" s="30" t="s">
        <v>546</v>
      </c>
      <c r="D23" s="9" t="s">
        <v>105</v>
      </c>
      <c r="E23" s="10" t="s">
        <v>106</v>
      </c>
      <c r="G23" s="9" t="s">
        <v>122</v>
      </c>
      <c r="H23" s="10" t="s">
        <v>164</v>
      </c>
      <c r="J23" s="9" t="s">
        <v>217</v>
      </c>
      <c r="K23" s="10" t="s">
        <v>223</v>
      </c>
      <c r="M23" s="265" t="s">
        <v>416</v>
      </c>
      <c r="N23" s="266"/>
      <c r="O23" s="12" t="s">
        <v>190</v>
      </c>
      <c r="P23" s="9" t="s">
        <v>291</v>
      </c>
      <c r="Q23" s="10" t="s">
        <v>292</v>
      </c>
      <c r="S23" s="9" t="s">
        <v>500</v>
      </c>
      <c r="T23" s="10" t="s">
        <v>501</v>
      </c>
    </row>
    <row r="24" spans="1:20">
      <c r="A24" s="30" t="s">
        <v>217</v>
      </c>
      <c r="B24" s="30" t="s">
        <v>301</v>
      </c>
      <c r="D24" s="9" t="s">
        <v>480</v>
      </c>
      <c r="E24" s="10" t="s">
        <v>107</v>
      </c>
      <c r="G24" s="9" t="s">
        <v>62</v>
      </c>
      <c r="H24" s="10" t="s">
        <v>165</v>
      </c>
      <c r="J24" s="9" t="s">
        <v>224</v>
      </c>
      <c r="K24" s="10" t="s">
        <v>225</v>
      </c>
      <c r="M24" s="9" t="s">
        <v>224</v>
      </c>
      <c r="N24" s="10" t="s">
        <v>417</v>
      </c>
      <c r="O24" s="12"/>
      <c r="P24" s="267" t="s">
        <v>463</v>
      </c>
      <c r="Q24" s="267"/>
      <c r="S24" s="9" t="s">
        <v>194</v>
      </c>
      <c r="T24" s="10" t="s">
        <v>502</v>
      </c>
    </row>
    <row r="25" spans="1:20">
      <c r="A25" s="265" t="s">
        <v>307</v>
      </c>
      <c r="B25" s="266"/>
      <c r="D25" s="9" t="s">
        <v>108</v>
      </c>
      <c r="E25" s="10" t="s">
        <v>109</v>
      </c>
      <c r="G25" s="9" t="s">
        <v>473</v>
      </c>
      <c r="H25" s="10" t="s">
        <v>166</v>
      </c>
      <c r="M25" s="9" t="s">
        <v>346</v>
      </c>
      <c r="N25" s="10" t="s">
        <v>418</v>
      </c>
      <c r="O25" s="12"/>
      <c r="P25" s="9" t="s">
        <v>209</v>
      </c>
      <c r="Q25" s="10" t="s">
        <v>381</v>
      </c>
      <c r="S25" s="9" t="s">
        <v>289</v>
      </c>
      <c r="T25" s="10" t="s">
        <v>503</v>
      </c>
    </row>
    <row r="26" spans="1:20">
      <c r="A26" s="10" t="s">
        <v>308</v>
      </c>
      <c r="B26" s="10"/>
      <c r="D26" s="9" t="s">
        <v>110</v>
      </c>
      <c r="E26" s="10" t="s">
        <v>111</v>
      </c>
      <c r="G26" s="9" t="s">
        <v>474</v>
      </c>
      <c r="H26" s="10" t="s">
        <v>167</v>
      </c>
      <c r="J26" s="265" t="s">
        <v>231</v>
      </c>
      <c r="K26" s="266"/>
      <c r="M26" s="9" t="s">
        <v>419</v>
      </c>
      <c r="N26" s="10" t="s">
        <v>420</v>
      </c>
      <c r="O26" s="12" t="s">
        <v>190</v>
      </c>
      <c r="P26" s="9" t="s">
        <v>346</v>
      </c>
      <c r="Q26" s="10" t="s">
        <v>382</v>
      </c>
      <c r="S26" s="265" t="s">
        <v>14</v>
      </c>
      <c r="T26" s="266"/>
    </row>
    <row r="27" spans="1:20">
      <c r="A27" s="10" t="s">
        <v>309</v>
      </c>
      <c r="B27" s="10"/>
      <c r="D27" s="9" t="s">
        <v>112</v>
      </c>
      <c r="E27" s="10" t="s">
        <v>113</v>
      </c>
      <c r="G27" s="9" t="s">
        <v>475</v>
      </c>
      <c r="H27" s="10" t="s">
        <v>168</v>
      </c>
      <c r="J27" s="9" t="s">
        <v>224</v>
      </c>
      <c r="K27" s="10" t="s">
        <v>226</v>
      </c>
      <c r="M27" s="9" t="s">
        <v>215</v>
      </c>
      <c r="N27" s="10" t="s">
        <v>421</v>
      </c>
      <c r="O27" s="12" t="s">
        <v>190</v>
      </c>
      <c r="P27" s="9" t="s">
        <v>215</v>
      </c>
      <c r="Q27" s="10" t="s">
        <v>383</v>
      </c>
      <c r="S27" s="28">
        <v>1</v>
      </c>
      <c r="T27" s="29" t="s">
        <v>554</v>
      </c>
    </row>
    <row r="28" spans="1:20">
      <c r="A28" s="10" t="s">
        <v>310</v>
      </c>
      <c r="B28" s="10"/>
      <c r="D28" s="9" t="s">
        <v>114</v>
      </c>
      <c r="E28" s="10" t="s">
        <v>115</v>
      </c>
      <c r="G28" s="9" t="s">
        <v>476</v>
      </c>
      <c r="H28" s="10" t="s">
        <v>169</v>
      </c>
      <c r="J28" s="9" t="s">
        <v>221</v>
      </c>
      <c r="K28" s="10" t="s">
        <v>227</v>
      </c>
      <c r="M28" s="9" t="s">
        <v>422</v>
      </c>
      <c r="N28" s="10" t="s">
        <v>423</v>
      </c>
      <c r="O28" s="12" t="s">
        <v>190</v>
      </c>
      <c r="P28" s="9" t="s">
        <v>211</v>
      </c>
      <c r="Q28" s="10" t="s">
        <v>384</v>
      </c>
      <c r="S28" s="28">
        <v>2</v>
      </c>
      <c r="T28" s="29" t="s">
        <v>555</v>
      </c>
    </row>
    <row r="29" spans="1:20">
      <c r="A29" s="10" t="s">
        <v>311</v>
      </c>
      <c r="B29" s="10"/>
      <c r="D29" s="9" t="s">
        <v>116</v>
      </c>
      <c r="E29" s="10" t="s">
        <v>117</v>
      </c>
      <c r="G29" s="9" t="s">
        <v>477</v>
      </c>
      <c r="H29" s="10" t="s">
        <v>170</v>
      </c>
      <c r="J29" s="9" t="s">
        <v>228</v>
      </c>
      <c r="K29" s="10" t="s">
        <v>229</v>
      </c>
      <c r="M29" s="9" t="s">
        <v>211</v>
      </c>
      <c r="N29" s="10" t="s">
        <v>424</v>
      </c>
      <c r="P29" s="267" t="s">
        <v>358</v>
      </c>
      <c r="Q29" s="267"/>
      <c r="S29" s="28">
        <v>3</v>
      </c>
      <c r="T29" s="29" t="s">
        <v>556</v>
      </c>
    </row>
    <row r="30" spans="1:20">
      <c r="A30" s="265" t="s">
        <v>2</v>
      </c>
      <c r="B30" s="266"/>
      <c r="D30" s="9" t="s">
        <v>118</v>
      </c>
      <c r="E30" s="10" t="s">
        <v>119</v>
      </c>
      <c r="G30" s="9" t="s">
        <v>478</v>
      </c>
      <c r="H30" s="10" t="s">
        <v>171</v>
      </c>
      <c r="M30" s="9" t="s">
        <v>207</v>
      </c>
      <c r="N30" s="10" t="s">
        <v>425</v>
      </c>
      <c r="P30" s="9" t="s">
        <v>293</v>
      </c>
      <c r="Q30" s="10" t="s">
        <v>359</v>
      </c>
      <c r="S30" s="28">
        <v>4</v>
      </c>
      <c r="T30" s="29" t="s">
        <v>557</v>
      </c>
    </row>
    <row r="31" spans="1:20">
      <c r="A31" s="10" t="s">
        <v>61</v>
      </c>
      <c r="B31" s="10" t="s">
        <v>312</v>
      </c>
      <c r="D31" s="9" t="s">
        <v>120</v>
      </c>
      <c r="E31" s="10" t="s">
        <v>121</v>
      </c>
      <c r="G31" s="9" t="s">
        <v>479</v>
      </c>
      <c r="H31" s="10" t="s">
        <v>172</v>
      </c>
      <c r="J31" s="267" t="s">
        <v>334</v>
      </c>
      <c r="K31" s="267"/>
      <c r="M31" s="9" t="s">
        <v>551</v>
      </c>
      <c r="N31" s="10" t="s">
        <v>552</v>
      </c>
      <c r="P31" s="9" t="s">
        <v>232</v>
      </c>
      <c r="Q31" s="10" t="s">
        <v>360</v>
      </c>
      <c r="S31" s="28">
        <v>5</v>
      </c>
      <c r="T31" s="29" t="s">
        <v>558</v>
      </c>
    </row>
    <row r="32" spans="1:20">
      <c r="A32" s="10" t="s">
        <v>399</v>
      </c>
      <c r="B32" s="10" t="s">
        <v>485</v>
      </c>
      <c r="D32" s="9" t="s">
        <v>122</v>
      </c>
      <c r="E32" s="10" t="s">
        <v>123</v>
      </c>
      <c r="G32" s="267" t="s">
        <v>22</v>
      </c>
      <c r="H32" s="267"/>
      <c r="J32" s="9">
        <v>1</v>
      </c>
      <c r="K32" s="10" t="s">
        <v>335</v>
      </c>
      <c r="M32" s="265" t="s">
        <v>426</v>
      </c>
      <c r="N32" s="266"/>
      <c r="P32" s="9" t="s">
        <v>361</v>
      </c>
      <c r="Q32" s="10" t="s">
        <v>362</v>
      </c>
      <c r="S32" s="267" t="s">
        <v>13</v>
      </c>
      <c r="T32" s="267"/>
    </row>
    <row r="33" spans="1:20">
      <c r="A33" s="10" t="s">
        <v>62</v>
      </c>
      <c r="B33" s="10" t="s">
        <v>486</v>
      </c>
      <c r="D33" s="9" t="s">
        <v>108</v>
      </c>
      <c r="E33" s="10" t="s">
        <v>124</v>
      </c>
      <c r="G33" s="9" t="s">
        <v>209</v>
      </c>
      <c r="H33" s="10" t="s">
        <v>173</v>
      </c>
      <c r="J33" s="9">
        <v>2</v>
      </c>
      <c r="K33" s="10" t="s">
        <v>336</v>
      </c>
      <c r="M33" s="9">
        <v>1</v>
      </c>
      <c r="N33" s="10" t="s">
        <v>427</v>
      </c>
      <c r="P33" s="9" t="s">
        <v>363</v>
      </c>
      <c r="Q33" s="10" t="s">
        <v>364</v>
      </c>
      <c r="S33" s="28" t="s">
        <v>209</v>
      </c>
      <c r="T33" s="29" t="s">
        <v>559</v>
      </c>
    </row>
    <row r="34" spans="1:20">
      <c r="A34" s="265" t="s">
        <v>517</v>
      </c>
      <c r="B34" s="266"/>
      <c r="D34" s="9" t="s">
        <v>125</v>
      </c>
      <c r="E34" s="10" t="s">
        <v>126</v>
      </c>
      <c r="G34" s="9" t="s">
        <v>224</v>
      </c>
      <c r="H34" s="10" t="s">
        <v>174</v>
      </c>
      <c r="J34" s="9">
        <v>3</v>
      </c>
      <c r="K34" s="10" t="s">
        <v>337</v>
      </c>
      <c r="M34" s="9">
        <v>2</v>
      </c>
      <c r="N34" s="10" t="s">
        <v>428</v>
      </c>
      <c r="P34" s="9" t="s">
        <v>69</v>
      </c>
      <c r="Q34" s="10" t="s">
        <v>70</v>
      </c>
      <c r="S34" s="28" t="s">
        <v>224</v>
      </c>
      <c r="T34" s="29" t="s">
        <v>560</v>
      </c>
    </row>
    <row r="35" spans="1:20">
      <c r="A35" s="10" t="s">
        <v>61</v>
      </c>
      <c r="B35" s="10" t="s">
        <v>312</v>
      </c>
      <c r="D35" s="9" t="s">
        <v>127</v>
      </c>
      <c r="E35" s="10" t="s">
        <v>128</v>
      </c>
      <c r="G35" s="9" t="s">
        <v>346</v>
      </c>
      <c r="H35" s="10" t="s">
        <v>175</v>
      </c>
      <c r="J35" s="9">
        <v>4</v>
      </c>
      <c r="K35" s="10" t="s">
        <v>338</v>
      </c>
      <c r="M35" s="9">
        <v>3</v>
      </c>
      <c r="N35" s="10" t="s">
        <v>429</v>
      </c>
      <c r="P35" s="9" t="s">
        <v>365</v>
      </c>
      <c r="Q35" s="10" t="s">
        <v>366</v>
      </c>
      <c r="S35" s="28" t="s">
        <v>346</v>
      </c>
      <c r="T35" s="29" t="s">
        <v>561</v>
      </c>
    </row>
    <row r="36" spans="1:20">
      <c r="A36" s="10" t="s">
        <v>519</v>
      </c>
      <c r="B36" s="10" t="s">
        <v>518</v>
      </c>
      <c r="D36" s="9" t="s">
        <v>129</v>
      </c>
      <c r="E36" s="10" t="s">
        <v>130</v>
      </c>
      <c r="G36" s="9" t="s">
        <v>241</v>
      </c>
      <c r="H36" s="10" t="s">
        <v>176</v>
      </c>
      <c r="J36" s="9">
        <v>5</v>
      </c>
      <c r="K36" s="10" t="s">
        <v>339</v>
      </c>
      <c r="M36" s="9">
        <v>4</v>
      </c>
      <c r="N36" s="10" t="s">
        <v>430</v>
      </c>
      <c r="P36" s="9" t="s">
        <v>77</v>
      </c>
      <c r="Q36" s="10" t="s">
        <v>78</v>
      </c>
      <c r="S36" s="28" t="s">
        <v>241</v>
      </c>
      <c r="T36" s="29" t="s">
        <v>562</v>
      </c>
    </row>
    <row r="37" spans="1:20">
      <c r="A37" s="265" t="s">
        <v>8</v>
      </c>
      <c r="B37" s="266"/>
      <c r="D37" s="9" t="s">
        <v>131</v>
      </c>
      <c r="E37" s="10" t="s">
        <v>132</v>
      </c>
      <c r="G37" s="267" t="s">
        <v>23</v>
      </c>
      <c r="H37" s="267"/>
      <c r="J37" s="9">
        <v>6</v>
      </c>
      <c r="K37" s="10" t="s">
        <v>340</v>
      </c>
      <c r="M37" s="9">
        <v>5</v>
      </c>
      <c r="N37" s="10" t="s">
        <v>431</v>
      </c>
      <c r="P37" s="9" t="s">
        <v>125</v>
      </c>
      <c r="Q37" s="10" t="s">
        <v>367</v>
      </c>
      <c r="S37" s="28" t="s">
        <v>242</v>
      </c>
      <c r="T37" s="29" t="s">
        <v>563</v>
      </c>
    </row>
    <row r="38" spans="1:20">
      <c r="A38" s="10" t="s">
        <v>313</v>
      </c>
      <c r="B38" s="10" t="s">
        <v>314</v>
      </c>
      <c r="D38" s="9" t="s">
        <v>133</v>
      </c>
      <c r="E38" s="30" t="s">
        <v>32</v>
      </c>
      <c r="G38" s="9" t="s">
        <v>224</v>
      </c>
      <c r="H38" s="10" t="s">
        <v>177</v>
      </c>
      <c r="J38" s="9">
        <v>7</v>
      </c>
      <c r="K38" s="10" t="s">
        <v>341</v>
      </c>
      <c r="M38" s="9">
        <v>6</v>
      </c>
      <c r="N38" s="10" t="s">
        <v>432</v>
      </c>
      <c r="P38" s="9" t="s">
        <v>294</v>
      </c>
      <c r="Q38" s="10" t="s">
        <v>368</v>
      </c>
      <c r="S38" s="264" t="s">
        <v>535</v>
      </c>
      <c r="T38" s="264"/>
    </row>
    <row r="39" spans="1:20">
      <c r="A39" s="10" t="s">
        <v>296</v>
      </c>
      <c r="B39" s="10" t="s">
        <v>315</v>
      </c>
      <c r="D39" s="9" t="s">
        <v>134</v>
      </c>
      <c r="E39" s="30" t="s">
        <v>135</v>
      </c>
      <c r="G39" s="9" t="s">
        <v>242</v>
      </c>
      <c r="H39" s="10" t="s">
        <v>178</v>
      </c>
      <c r="J39" s="9" t="s">
        <v>551</v>
      </c>
      <c r="K39" s="10" t="s">
        <v>552</v>
      </c>
      <c r="M39" s="9">
        <v>7</v>
      </c>
      <c r="N39" s="10" t="s">
        <v>433</v>
      </c>
      <c r="P39" s="9" t="s">
        <v>79</v>
      </c>
      <c r="Q39" s="10" t="s">
        <v>369</v>
      </c>
      <c r="S39" s="68" t="s">
        <v>530</v>
      </c>
      <c r="T39" s="68" t="s">
        <v>531</v>
      </c>
    </row>
    <row r="40" spans="1:20">
      <c r="A40" s="10" t="s">
        <v>316</v>
      </c>
      <c r="B40" s="10" t="s">
        <v>317</v>
      </c>
      <c r="D40" s="9" t="s">
        <v>136</v>
      </c>
      <c r="E40" s="10" t="s">
        <v>137</v>
      </c>
      <c r="G40" s="9" t="s">
        <v>228</v>
      </c>
      <c r="H40" s="10" t="s">
        <v>179</v>
      </c>
      <c r="J40" s="267" t="s">
        <v>342</v>
      </c>
      <c r="K40" s="267"/>
      <c r="M40" s="9" t="s">
        <v>551</v>
      </c>
      <c r="N40" s="10" t="s">
        <v>552</v>
      </c>
      <c r="P40" s="9" t="s">
        <v>85</v>
      </c>
      <c r="Q40" s="10" t="s">
        <v>370</v>
      </c>
      <c r="S40" s="69" t="s">
        <v>215</v>
      </c>
      <c r="T40" s="69" t="s">
        <v>532</v>
      </c>
    </row>
    <row r="41" spans="1:20">
      <c r="A41" s="265" t="s">
        <v>10</v>
      </c>
      <c r="B41" s="266"/>
      <c r="D41" s="9" t="s">
        <v>138</v>
      </c>
      <c r="E41" s="10" t="s">
        <v>139</v>
      </c>
      <c r="G41" s="9" t="s">
        <v>344</v>
      </c>
      <c r="H41" s="10" t="s">
        <v>180</v>
      </c>
      <c r="J41" s="9" t="s">
        <v>344</v>
      </c>
      <c r="K41" s="10" t="s">
        <v>345</v>
      </c>
      <c r="M41" s="265" t="s">
        <v>442</v>
      </c>
      <c r="N41" s="266"/>
      <c r="P41" s="9" t="s">
        <v>235</v>
      </c>
      <c r="Q41" s="10" t="s">
        <v>371</v>
      </c>
      <c r="S41" s="69" t="s">
        <v>564</v>
      </c>
      <c r="T41" s="69" t="s">
        <v>524</v>
      </c>
    </row>
    <row r="42" spans="1:20">
      <c r="A42" s="10">
        <v>60</v>
      </c>
      <c r="B42" s="10" t="s">
        <v>318</v>
      </c>
      <c r="D42" s="9" t="s">
        <v>140</v>
      </c>
      <c r="E42" s="10" t="s">
        <v>141</v>
      </c>
      <c r="G42" s="9" t="s">
        <v>215</v>
      </c>
      <c r="H42" s="10" t="s">
        <v>181</v>
      </c>
      <c r="J42" s="9" t="s">
        <v>346</v>
      </c>
      <c r="K42" s="10" t="s">
        <v>347</v>
      </c>
      <c r="M42" s="9">
        <v>1</v>
      </c>
      <c r="N42" s="10" t="s">
        <v>434</v>
      </c>
      <c r="P42" s="9" t="s">
        <v>295</v>
      </c>
      <c r="Q42" s="10" t="s">
        <v>372</v>
      </c>
      <c r="S42" s="69" t="s">
        <v>77</v>
      </c>
      <c r="T42" s="69" t="s">
        <v>525</v>
      </c>
    </row>
    <row r="43" spans="1:20">
      <c r="A43" s="10">
        <v>80</v>
      </c>
      <c r="B43" s="10" t="s">
        <v>319</v>
      </c>
      <c r="G43" s="9" t="s">
        <v>481</v>
      </c>
      <c r="H43" s="10" t="s">
        <v>483</v>
      </c>
      <c r="J43" s="9" t="s">
        <v>219</v>
      </c>
      <c r="K43" s="10" t="s">
        <v>348</v>
      </c>
      <c r="M43" s="9">
        <v>2</v>
      </c>
      <c r="N43" s="10" t="s">
        <v>435</v>
      </c>
      <c r="P43" s="9" t="s">
        <v>373</v>
      </c>
      <c r="Q43" s="10" t="s">
        <v>374</v>
      </c>
      <c r="S43" s="69" t="s">
        <v>565</v>
      </c>
      <c r="T43" s="69" t="s">
        <v>533</v>
      </c>
    </row>
    <row r="44" spans="1:20">
      <c r="A44" s="10">
        <v>100</v>
      </c>
      <c r="B44" s="10"/>
      <c r="G44" s="9" t="s">
        <v>482</v>
      </c>
      <c r="H44" s="10" t="s">
        <v>484</v>
      </c>
      <c r="J44" s="9" t="s">
        <v>242</v>
      </c>
      <c r="K44" s="10" t="s">
        <v>349</v>
      </c>
      <c r="M44" s="9">
        <v>3</v>
      </c>
      <c r="N44" s="10" t="s">
        <v>436</v>
      </c>
      <c r="P44" s="9" t="s">
        <v>237</v>
      </c>
      <c r="Q44" s="10" t="s">
        <v>375</v>
      </c>
      <c r="S44" s="69" t="s">
        <v>219</v>
      </c>
      <c r="T44" s="69" t="s">
        <v>527</v>
      </c>
    </row>
    <row r="45" spans="1:20">
      <c r="G45" s="265" t="s">
        <v>15</v>
      </c>
      <c r="H45" s="266"/>
      <c r="J45" s="9" t="s">
        <v>228</v>
      </c>
      <c r="K45" s="10" t="s">
        <v>350</v>
      </c>
      <c r="M45" s="9">
        <v>4</v>
      </c>
      <c r="N45" s="10" t="s">
        <v>437</v>
      </c>
      <c r="P45" s="9" t="s">
        <v>116</v>
      </c>
      <c r="Q45" s="10" t="s">
        <v>117</v>
      </c>
      <c r="S45" s="69" t="s">
        <v>294</v>
      </c>
      <c r="T45" s="69" t="s">
        <v>526</v>
      </c>
    </row>
    <row r="46" spans="1:20">
      <c r="G46" s="9" t="s">
        <v>356</v>
      </c>
      <c r="H46" s="10" t="s">
        <v>185</v>
      </c>
      <c r="J46" s="9" t="s">
        <v>351</v>
      </c>
      <c r="K46" s="10" t="s">
        <v>352</v>
      </c>
      <c r="M46" s="9">
        <v>5</v>
      </c>
      <c r="N46" s="10" t="s">
        <v>438</v>
      </c>
      <c r="P46" s="9" t="s">
        <v>238</v>
      </c>
      <c r="Q46" s="10" t="s">
        <v>376</v>
      </c>
      <c r="S46" s="69" t="s">
        <v>419</v>
      </c>
      <c r="T46" s="69" t="s">
        <v>534</v>
      </c>
    </row>
    <row r="47" spans="1:20">
      <c r="G47" s="9" t="s">
        <v>224</v>
      </c>
      <c r="H47" s="10" t="s">
        <v>186</v>
      </c>
      <c r="J47" s="9" t="s">
        <v>353</v>
      </c>
      <c r="K47" s="10" t="s">
        <v>354</v>
      </c>
      <c r="M47" s="9">
        <v>6</v>
      </c>
      <c r="N47" s="10" t="s">
        <v>439</v>
      </c>
      <c r="P47" s="9" t="s">
        <v>239</v>
      </c>
      <c r="Q47" s="10" t="s">
        <v>377</v>
      </c>
      <c r="S47" s="28"/>
      <c r="T47" s="29"/>
    </row>
    <row r="48" spans="1:20">
      <c r="G48" s="9" t="s">
        <v>346</v>
      </c>
      <c r="H48" s="10" t="s">
        <v>187</v>
      </c>
      <c r="J48" s="9" t="s">
        <v>211</v>
      </c>
      <c r="K48" s="10" t="s">
        <v>355</v>
      </c>
      <c r="M48" s="9">
        <v>7</v>
      </c>
      <c r="N48" s="10" t="s">
        <v>440</v>
      </c>
      <c r="P48" s="9" t="s">
        <v>287</v>
      </c>
      <c r="Q48" s="10" t="s">
        <v>378</v>
      </c>
      <c r="S48" s="28"/>
      <c r="T48" s="29"/>
    </row>
    <row r="49" spans="7:20">
      <c r="G49" s="9" t="s">
        <v>242</v>
      </c>
      <c r="H49" s="10" t="s">
        <v>188</v>
      </c>
      <c r="J49" s="9" t="s">
        <v>356</v>
      </c>
      <c r="K49" s="10" t="s">
        <v>357</v>
      </c>
      <c r="M49" s="9">
        <v>8</v>
      </c>
      <c r="N49" s="10" t="s">
        <v>441</v>
      </c>
      <c r="P49" s="9" t="s">
        <v>379</v>
      </c>
      <c r="Q49" s="10" t="s">
        <v>380</v>
      </c>
      <c r="S49" s="28"/>
      <c r="T49" s="29"/>
    </row>
    <row r="50" spans="7:20">
      <c r="G50" s="9" t="s">
        <v>228</v>
      </c>
      <c r="H50" s="10" t="s">
        <v>189</v>
      </c>
      <c r="J50" s="9" t="s">
        <v>551</v>
      </c>
      <c r="K50" s="10" t="s">
        <v>552</v>
      </c>
      <c r="M50" s="9" t="s">
        <v>551</v>
      </c>
      <c r="N50" s="10" t="s">
        <v>552</v>
      </c>
      <c r="S50" s="28"/>
      <c r="T50" s="29"/>
    </row>
    <row r="51" spans="7:20">
      <c r="G51" s="9" t="s">
        <v>344</v>
      </c>
      <c r="H51" s="10" t="s">
        <v>180</v>
      </c>
      <c r="M51" s="267" t="s">
        <v>243</v>
      </c>
      <c r="N51" s="267"/>
      <c r="S51" s="28"/>
      <c r="T51" s="29"/>
    </row>
    <row r="52" spans="7:20">
      <c r="G52" s="9" t="s">
        <v>215</v>
      </c>
      <c r="H52" s="10" t="s">
        <v>182</v>
      </c>
      <c r="M52" s="9" t="s">
        <v>244</v>
      </c>
      <c r="N52" s="10" t="s">
        <v>245</v>
      </c>
      <c r="S52" s="28"/>
      <c r="T52" s="29"/>
    </row>
    <row r="53" spans="7:20">
      <c r="G53" s="9" t="s">
        <v>481</v>
      </c>
      <c r="H53" s="10" t="s">
        <v>183</v>
      </c>
      <c r="M53" s="9" t="s">
        <v>29</v>
      </c>
      <c r="N53" s="10" t="s">
        <v>246</v>
      </c>
    </row>
    <row r="54" spans="7:20">
      <c r="G54" s="9" t="s">
        <v>482</v>
      </c>
      <c r="H54" s="10" t="s">
        <v>184</v>
      </c>
      <c r="M54" s="9" t="s">
        <v>30</v>
      </c>
      <c r="N54" s="10" t="s">
        <v>247</v>
      </c>
    </row>
    <row r="55" spans="7:20">
      <c r="M55" s="9" t="s">
        <v>248</v>
      </c>
      <c r="N55" s="10" t="s">
        <v>249</v>
      </c>
    </row>
    <row r="56" spans="7:20">
      <c r="M56" s="9" t="s">
        <v>250</v>
      </c>
      <c r="N56" s="10" t="s">
        <v>251</v>
      </c>
    </row>
    <row r="57" spans="7:20">
      <c r="M57" s="9" t="s">
        <v>252</v>
      </c>
      <c r="N57" s="10" t="s">
        <v>253</v>
      </c>
    </row>
    <row r="58" spans="7:20">
      <c r="M58" s="9" t="s">
        <v>254</v>
      </c>
      <c r="N58" s="10" t="s">
        <v>255</v>
      </c>
    </row>
  </sheetData>
  <mergeCells count="33">
    <mergeCell ref="S1:T1"/>
    <mergeCell ref="P1:Q1"/>
    <mergeCell ref="A1:B1"/>
    <mergeCell ref="A14:B14"/>
    <mergeCell ref="A30:B30"/>
    <mergeCell ref="A4:B4"/>
    <mergeCell ref="P29:Q29"/>
    <mergeCell ref="P24:Q24"/>
    <mergeCell ref="J12:K12"/>
    <mergeCell ref="A25:B25"/>
    <mergeCell ref="M1:N1"/>
    <mergeCell ref="P8:Q8"/>
    <mergeCell ref="D1:E1"/>
    <mergeCell ref="G1:H1"/>
    <mergeCell ref="J1:K1"/>
    <mergeCell ref="G45:H45"/>
    <mergeCell ref="J20:K20"/>
    <mergeCell ref="J26:K26"/>
    <mergeCell ref="G32:H32"/>
    <mergeCell ref="G37:H37"/>
    <mergeCell ref="J40:K40"/>
    <mergeCell ref="J31:K31"/>
    <mergeCell ref="A34:B34"/>
    <mergeCell ref="A37:B37"/>
    <mergeCell ref="A41:B41"/>
    <mergeCell ref="M41:N41"/>
    <mergeCell ref="M32:N32"/>
    <mergeCell ref="S38:T38"/>
    <mergeCell ref="S13:T13"/>
    <mergeCell ref="M51:N51"/>
    <mergeCell ref="S26:T26"/>
    <mergeCell ref="S32:T32"/>
    <mergeCell ref="M23:N2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57</vt:i4>
      </vt:variant>
    </vt:vector>
  </HeadingPairs>
  <TitlesOfParts>
    <vt:vector size="63" baseType="lpstr">
      <vt:lpstr>SLL_Wellsite</vt:lpstr>
      <vt:lpstr>SLL_Reconciled</vt:lpstr>
      <vt:lpstr>Collar</vt:lpstr>
      <vt:lpstr>BHC</vt:lpstr>
      <vt:lpstr>Sampling</vt:lpstr>
      <vt:lpstr>Library SLL</vt:lpstr>
      <vt:lpstr>assoc</vt:lpstr>
      <vt:lpstr>bit</vt:lpstr>
      <vt:lpstr>casing_size</vt:lpstr>
      <vt:lpstr>casing_type</vt:lpstr>
      <vt:lpstr>coal</vt:lpstr>
      <vt:lpstr>color</vt:lpstr>
      <vt:lpstr>cont</vt:lpstr>
      <vt:lpstr>core</vt:lpstr>
      <vt:lpstr>SLL_Reconciled!d_from</vt:lpstr>
      <vt:lpstr>d_from</vt:lpstr>
      <vt:lpstr>SLL_Reconciled!d_to</vt:lpstr>
      <vt:lpstr>d_to</vt:lpstr>
      <vt:lpstr>SLL_Reconciled!data</vt:lpstr>
      <vt:lpstr>data</vt:lpstr>
      <vt:lpstr>SLL_Reconciled!date</vt:lpstr>
      <vt:lpstr>date</vt:lpstr>
      <vt:lpstr>SLL_Reconciled!date_from</vt:lpstr>
      <vt:lpstr>date_from</vt:lpstr>
      <vt:lpstr>day</vt:lpstr>
      <vt:lpstr>fosil</vt:lpstr>
      <vt:lpstr>fosil_abund</vt:lpstr>
      <vt:lpstr>fosil_min</vt:lpstr>
      <vt:lpstr>grain</vt:lpstr>
      <vt:lpstr>SLL_Reconciled!hole</vt:lpstr>
      <vt:lpstr>hole</vt:lpstr>
      <vt:lpstr>hole_dia</vt:lpstr>
      <vt:lpstr>hole_type</vt:lpstr>
      <vt:lpstr>hue</vt:lpstr>
      <vt:lpstr>SLL_Reconciled!id</vt:lpstr>
      <vt:lpstr>id</vt:lpstr>
      <vt:lpstr>litho</vt:lpstr>
      <vt:lpstr>log_basis</vt:lpstr>
      <vt:lpstr>loss</vt:lpstr>
      <vt:lpstr>SLL_Reconciled!max</vt:lpstr>
      <vt:lpstr>max</vt:lpstr>
      <vt:lpstr>mech</vt:lpstr>
      <vt:lpstr>perm</vt:lpstr>
      <vt:lpstr>ply</vt:lpstr>
      <vt:lpstr>qual</vt:lpstr>
      <vt:lpstr>round</vt:lpstr>
      <vt:lpstr>seam</vt:lpstr>
      <vt:lpstr>SLL_Reconciled!seam_sll</vt:lpstr>
      <vt:lpstr>seam_sll</vt:lpstr>
      <vt:lpstr>sed_rel</vt:lpstr>
      <vt:lpstr>sed_struc</vt:lpstr>
      <vt:lpstr>sep_bed</vt:lpstr>
      <vt:lpstr>shade</vt:lpstr>
      <vt:lpstr>sort</vt:lpstr>
      <vt:lpstr>space_bed</vt:lpstr>
      <vt:lpstr>strength</vt:lpstr>
      <vt:lpstr>struc_desc</vt:lpstr>
      <vt:lpstr>struc_spacing</vt:lpstr>
      <vt:lpstr>struc_type</vt:lpstr>
      <vt:lpstr>weath</vt:lpstr>
      <vt:lpstr>x</vt:lpstr>
      <vt:lpstr>y</vt:lpstr>
      <vt:lpstr>z</vt:lpstr>
    </vt:vector>
  </TitlesOfParts>
  <Company>bpms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baggio</dc:creator>
  <cp:lastModifiedBy>acer</cp:lastModifiedBy>
  <cp:lastPrinted>2019-09-28T09:38:14Z</cp:lastPrinted>
  <dcterms:created xsi:type="dcterms:W3CDTF">2012-10-31T01:48:38Z</dcterms:created>
  <dcterms:modified xsi:type="dcterms:W3CDTF">2020-11-27T04:38:29Z</dcterms:modified>
</cp:coreProperties>
</file>